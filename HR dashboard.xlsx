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min\Desktop\shweta\Excel\"/>
    </mc:Choice>
  </mc:AlternateContent>
  <xr:revisionPtr revIDLastSave="0" documentId="13_ncr:1_{685EA21B-F35F-417E-ACBC-4A280C6E3FAF}" xr6:coauthVersionLast="47" xr6:coauthVersionMax="47" xr10:uidLastSave="{00000000-0000-0000-0000-000000000000}"/>
  <bookViews>
    <workbookView xWindow="-120" yWindow="-120" windowWidth="20730" windowHeight="11160" xr2:uid="{6852B531-C374-4505-A31D-D36BD5C0603F}"/>
    <workbookView minimized="1" xWindow="720" yWindow="3030" windowWidth="11880" windowHeight="7875" xr2:uid="{A4F2F89C-4A44-4495-B4A2-218AE3080F09}"/>
  </bookViews>
  <sheets>
    <sheet name="Dashboard" sheetId="1" r:id="rId1"/>
    <sheet name="Data" sheetId="2" r:id="rId2"/>
    <sheet name="Pivot Table" sheetId="3" r:id="rId3"/>
  </sheets>
  <definedNames>
    <definedName name="Slicer_Department1">#N/A</definedName>
    <definedName name="Slicer_Gender1">#N/A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4" i="3" l="1"/>
  <c r="C11" i="3"/>
  <c r="G13" i="3"/>
  <c r="C12" i="3"/>
  <c r="C13" i="3"/>
  <c r="G15" i="3"/>
  <c r="G17" i="3"/>
  <c r="G16" i="3"/>
  <c r="C14" i="3" l="1"/>
  <c r="G18" i="3"/>
</calcChain>
</file>

<file path=xl/sharedStrings.xml><?xml version="1.0" encoding="utf-8"?>
<sst xmlns="http://schemas.openxmlformats.org/spreadsheetml/2006/main" count="863" uniqueCount="226">
  <si>
    <t>\</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</si>
  <si>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</si>
  <si>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</si>
  <si>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</si>
  <si>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</si>
  <si>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</si>
  <si>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</si>
  <si>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</si>
  <si>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</si>
  <si>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</si>
  <si>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</si>
  <si>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</si>
  <si>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</si>
  <si>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</si>
  <si>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</si>
  <si>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</si>
  <si>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</si>
  <si>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</si>
  <si>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</si>
  <si>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</si>
  <si>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</si>
  <si>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</si>
  <si>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</si>
  <si>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</si>
  <si>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</si>
  <si>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</si>
  <si>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</si>
  <si>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</si>
  <si>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</si>
  <si>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</si>
  <si>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</si>
  <si>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</si>
  <si>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</si>
  <si>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</si>
  <si>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</si>
  <si>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</si>
  <si>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</si>
  <si>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</si>
  <si>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</si>
  <si>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</si>
  <si>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</si>
  <si>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</si>
  <si>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</si>
  <si>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</si>
  <si>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</si>
  <si>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</si>
  <si>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</si>
  <si>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</si>
  <si>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</si>
  <si>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</si>
  <si>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</si>
  <si>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</si>
  <si>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</si>
  <si>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</si>
  <si>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</si>
  <si>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</si>
  <si>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</si>
  <si>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</si>
  <si>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</si>
  <si>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</si>
  <si>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</si>
  <si>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</si>
  <si>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</si>
  <si>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</si>
  <si>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</si>
  <si>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</si>
  <si>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</si>
  <si>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</si>
  <si>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</si>
  <si>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</si>
  <si>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</si>
  <si>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</si>
  <si>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</si>
  <si>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</si>
  <si>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</si>
  <si>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</si>
  <si>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</si>
  <si>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</si>
  <si>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</si>
  <si>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</si>
  <si>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</si>
  <si>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</si>
  <si>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</si>
  <si>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</si>
  <si>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</si>
  <si>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</si>
  <si>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</si>
  <si>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</si>
  <si>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</si>
  <si>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</si>
  <si>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</si>
  <si>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</si>
  <si>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</si>
  <si>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</si>
  <si>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</si>
  <si>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</si>
  <si>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</si>
  <si>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</si>
  <si>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</si>
  <si>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</si>
  <si>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</si>
  <si>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</si>
  <si>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</si>
  <si>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</si>
  <si>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</si>
  <si>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</si>
  <si>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</si>
  <si>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</si>
  <si>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</si>
  <si>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</si>
  <si>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</si>
  <si>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</si>
  <si>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</si>
  <si>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</si>
  <si>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</si>
  <si>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</si>
  <si>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</si>
  <si>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</si>
  <si>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</si>
  <si>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</si>
  <si>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</si>
  <si>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</si>
  <si>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</si>
  <si>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</si>
  <si>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</si>
  <si>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</si>
  <si>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</si>
  <si>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</si>
  <si>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</si>
  <si>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</si>
  <si>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</si>
  <si>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</si>
  <si>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</si>
  <si>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</si>
  <si>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</si>
  <si>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</si>
  <si>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</si>
  <si>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</si>
  <si>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</si>
  <si>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</si>
  <si>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</si>
  <si>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</si>
  <si>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</si>
  <si>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</si>
  <si>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</si>
  <si>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</si>
  <si>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</si>
  <si>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</si>
  <si>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</si>
  <si>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</si>
  <si>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</si>
  <si>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</si>
  <si>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</si>
  <si>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</si>
  <si>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</si>
  <si>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</si>
  <si>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</si>
  <si>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</si>
  <si>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</si>
  <si>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</si>
  <si>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</si>
  <si>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</si>
  <si>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</si>
  <si>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</si>
  <si>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</si>
  <si>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</si>
  <si>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</si>
  <si>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</si>
  <si>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</si>
  <si>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</si>
  <si>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</si>
  <si>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</si>
  <si>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</si>
  <si>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</si>
  <si>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</si>
  <si>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</si>
  <si>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</si>
  <si>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</si>
  <si>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</si>
  <si>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</si>
  <si>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</si>
  <si>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</si>
  <si>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</si>
  <si>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</si>
  <si>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</si>
  <si>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</si>
  <si>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</si>
  <si>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</si>
  <si>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</si>
  <si>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</si>
  <si>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</si>
  <si>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</si>
  <si>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</si>
  <si>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</si>
  <si>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</si>
  <si>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</si>
  <si>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</si>
  <si>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</si>
  <si>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</si>
  <si>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</si>
  <si>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</si>
  <si>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</si>
  <si>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</si>
  <si>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</si>
  <si>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</si>
  <si>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</si>
  <si>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</si>
  <si>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</si>
  <si>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</si>
  <si>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</si>
  <si>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</si>
  <si>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</si>
  <si>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</si>
  <si>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</si>
  <si>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</si>
  <si>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Row Labels</t>
  </si>
  <si>
    <t>Grand Total</t>
  </si>
  <si>
    <t>Count of Full Name</t>
  </si>
  <si>
    <t>No.Of Employees to Employee Status</t>
  </si>
  <si>
    <t>Total</t>
  </si>
  <si>
    <t>Sum of Salary</t>
  </si>
  <si>
    <t>Salaries to department</t>
  </si>
  <si>
    <t>Column Labels</t>
  </si>
  <si>
    <t>Age range to gender</t>
  </si>
  <si>
    <t>Sum of Leave Taken</t>
  </si>
  <si>
    <t>Sum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</si>
</sst>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5">
    <font>
      <sz val="11"/>
      <color theme="1"/>
      <name val="Aptos Narrow"/>
      <family val="2"/>
      <scheme val="minor"/>
    </font>
    <font>
      <sz val="11"/>
      <color theme="1"/>
      <name val="Aptos Narrow"/>
      <family val="2"/>
      <scheme val="minor"/>
    </font>
    <font>
      <sz val="11"/>
      <color theme="0"/>
      <name val="Aptos Narrow"/>
      <family val="2"/>
      <scheme val="minor"/>
    </font>
    <font>
      <sz val="11"/>
      <color theme="0" tint="-4.9989318521683403E-2"/>
      <name val="Kulim Park"/>
    </font>
    <font>
      <sz val="11"/>
      <color theme="7" tint="-0.249977111117893"/>
      <name val="Aptos Narrow"/>
      <family val="2"/>
      <scheme val="minor"/>
    </font>
  </fonts>
  <fills count="4">
    <fill>
      <patternFill patternType="none"/>
    </fill>
    <fill>
      <patternFill patternType="gray125"/>
    </fill>
    <fill>
      <patternFill patternType="solid">
        <fgColor rgb="FF282828"/>
        <bgColor indexed="64"/>
      </patternFill>
    </fill>
    <fill>
      <patternFill patternType="solid">
        <fgColor theme="1"/>
        <bgColor indexed="64"/>
      </patternFill>
    </fill>
  </fills>
  <borders count="3">
    <border>
      <left/>
      <right/>
      <top/>
      <bottom/>
      <diagonal/>
    </border>
    <border>
      <left/>
      <right/>
      <top style="thin">
        <color theme="1" tint="0.499984740745262"/>
      </top>
      <bottom style="thin">
        <color theme="1" tint="0.499984740745262"/>
      </bottom>
      <diagonal/>
    </border>
    <border>
      <left/>
      <right/>
      <top style="thin">
        <color theme="1" tint="0.499984740745262"/>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0" fillId="2" borderId="0" xfId="0" applyFill="1"/>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4" fillId="3" borderId="0" xfId="0" applyFont="1" applyFill="1"/>
    <xf numFmtId="0" fontId="0" fillId="3" borderId="0" xfId="0" applyFill="1"/>
    <xf numFmtId="0" fontId="2" fillId="2" borderId="0" xfId="0" applyFont="1" applyFill="1"/>
    <xf numFmtId="164" fontId="0" fillId="0" borderId="0" xfId="1" applyNumberFormat="1" applyFont="1"/>
    <xf numFmtId="0" fontId="2" fillId="3" borderId="0" xfId="0" applyFont="1" applyFill="1"/>
    <xf numFmtId="9" fontId="0" fillId="0" borderId="0" xfId="2" applyFont="1"/>
    <xf numFmtId="9" fontId="0" fillId="0" borderId="0" xfId="0" applyNumberFormat="1"/>
    <xf numFmtId="0" fontId="0" fillId="0" borderId="0" xfId="2" applyNumberFormat="1" applyFont="1"/>
  </cellXfs>
  <cellStyles count="3">
    <cellStyle name="Comma" xfId="1" builtinId="3"/>
    <cellStyle name="Normal" xfId="0" builtinId="0"/>
    <cellStyle name="Percent" xfId="2" builtinId="5"/>
  </cellStyles>
  <dxfs count="25">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border outline="0">
        <bottom style="thin">
          <color theme="1" tint="0.499984740745262"/>
        </bottom>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ill>
        <patternFill>
          <fgColor rgb="FFFFC000"/>
          <bgColor rgb="FFFFC000"/>
        </patternFill>
      </fill>
    </dxf>
    <dxf>
      <fill>
        <patternFill>
          <fgColor rgb="FF1F1F1F"/>
          <bgColor rgb="FF1F1F1F"/>
        </patternFill>
      </fill>
    </dxf>
  </dxfs>
  <tableStyles count="2" defaultTableStyle="TableStyleMedium2" defaultPivotStyle="PivotStyleLight16">
    <tableStyle name="Slicer Style 1" pivot="0" table="0" count="4" xr9:uid="{207AC15B-AFF9-48DC-8847-184D32725A7A}">
      <tableStyleElement type="wholeTable" dxfId="24"/>
    </tableStyle>
    <tableStyle name="Slicer Style 2" pivot="0" table="0" count="1" xr9:uid="{72C55C5E-AF22-4E8E-8269-514CB9AE4406}">
      <tableStyleElement type="wholeTable" dxfId="23"/>
    </tableStyle>
  </tableStyles>
  <colors>
    <mruColors>
      <color rgb="FF1F1F1F"/>
      <color rgb="FF000000"/>
      <color rgb="FF401C36"/>
      <color rgb="FF282828"/>
      <color rgb="FF221822"/>
    </mruColors>
  </colors>
  <extLst>
    <ext xmlns:x14="http://schemas.microsoft.com/office/spreadsheetml/2009/9/main" uri="{46F421CA-312F-682f-3DD2-61675219B42D}">
      <x14:dxfs count="3">
        <dxf>
          <font>
            <b val="0"/>
            <i val="0"/>
            <sz val="11"/>
            <color rgb="FF1F1F1F"/>
          </font>
          <fill>
            <patternFill>
              <fgColor rgb="FFFFC000"/>
              <bgColor rgb="FFFFC000"/>
            </patternFill>
          </fill>
        </dxf>
        <dxf>
          <font>
            <color rgb="FFFFC000"/>
            <name val="Times New Roman"/>
            <family val="1"/>
            <scheme val="none"/>
          </font>
          <fill>
            <patternFill>
              <fgColor theme="1"/>
              <bgColor theme="1" tint="0.14996795556505021"/>
            </patternFill>
          </fill>
        </dxf>
        <dxf>
          <fill>
            <patternFill>
              <fgColor rgb="FFFFC000"/>
              <bgColor rgb="FFFFC0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FFFF00"/>
            </a:solidFill>
            <a:ln>
              <a:solidFill>
                <a:schemeClr val="accent1">
                  <a:shade val="15000"/>
                </a:schemeClr>
              </a:solidFill>
            </a:ln>
          </c:spPr>
          <c:dPt>
            <c:idx val="0"/>
            <c:bubble3D val="0"/>
            <c:spPr>
              <a:solidFill>
                <a:srgbClr val="FFFF00"/>
              </a:solidFill>
              <a:ln w="19050">
                <a:solidFill>
                  <a:schemeClr val="accent1">
                    <a:shade val="15000"/>
                  </a:schemeClr>
                </a:solidFill>
              </a:ln>
              <a:effectLst/>
            </c:spPr>
            <c:extLst>
              <c:ext xmlns:c16="http://schemas.microsoft.com/office/drawing/2014/chart" uri="{C3380CC4-5D6E-409C-BE32-E72D297353CC}">
                <c16:uniqueId val="{00000001-E579-43FE-B06B-632117725657}"/>
              </c:ext>
            </c:extLst>
          </c:dPt>
          <c:dPt>
            <c:idx val="1"/>
            <c:bubble3D val="0"/>
            <c:spPr>
              <a:solidFill>
                <a:schemeClr val="bg1">
                  <a:lumMod val="85000"/>
                </a:schemeClr>
              </a:solidFill>
              <a:ln w="19050">
                <a:solidFill>
                  <a:schemeClr val="accent1">
                    <a:shade val="15000"/>
                  </a:schemeClr>
                </a:solidFill>
              </a:ln>
              <a:effectLst/>
            </c:spPr>
            <c:extLst>
              <c:ext xmlns:c16="http://schemas.microsoft.com/office/drawing/2014/chart" uri="{C3380CC4-5D6E-409C-BE32-E72D297353CC}">
                <c16:uniqueId val="{00000003-E579-43FE-B06B-632117725657}"/>
              </c:ext>
            </c:extLst>
          </c:dPt>
          <c:dPt>
            <c:idx val="2"/>
            <c:bubble3D val="0"/>
            <c:spPr>
              <a:solidFill>
                <a:schemeClr val="tx1">
                  <a:lumMod val="65000"/>
                  <a:lumOff val="35000"/>
                </a:schemeClr>
              </a:solidFill>
              <a:ln w="19050">
                <a:solidFill>
                  <a:schemeClr val="accent1">
                    <a:shade val="15000"/>
                  </a:schemeClr>
                </a:solidFill>
              </a:ln>
              <a:effectLst/>
            </c:spPr>
            <c:extLst>
              <c:ext xmlns:c16="http://schemas.microsoft.com/office/drawing/2014/chart" uri="{C3380CC4-5D6E-409C-BE32-E72D297353CC}">
                <c16:uniqueId val="{00000005-E579-43FE-B06B-632117725657}"/>
              </c:ext>
            </c:extLst>
          </c:dPt>
          <c:cat>
            <c:strRef>
              <c:f>'Pivot Table'!$B$11:$B$13</c:f>
              <c:strCache>
                <c:ptCount val="3"/>
                <c:pt idx="0">
                  <c:v>Contract</c:v>
                </c:pt>
                <c:pt idx="1">
                  <c:v>Full-Time</c:v>
                </c:pt>
                <c:pt idx="2">
                  <c:v>Part-Time</c:v>
                </c:pt>
              </c:strCache>
            </c:strRef>
          </c:cat>
          <c:val>
            <c:numRef>
              <c:f>'Pivot Table'!$C$11:$C$13</c:f>
              <c:numCache>
                <c:formatCode>General</c:formatCode>
                <c:ptCount val="3"/>
                <c:pt idx="0">
                  <c:v>17</c:v>
                </c:pt>
                <c:pt idx="1">
                  <c:v>20</c:v>
                </c:pt>
                <c:pt idx="2">
                  <c:v>13</c:v>
                </c:pt>
              </c:numCache>
            </c:numRef>
          </c:val>
          <c:extLst>
            <c:ext xmlns:c16="http://schemas.microsoft.com/office/drawing/2014/chart" uri="{C3380CC4-5D6E-409C-BE32-E72D297353CC}">
              <c16:uniqueId val="{00000006-E579-43FE-B06B-63211772565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282828"/>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 Table!PivotTable3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Table'!$L$16:$L$17</c:f>
              <c:strCache>
                <c:ptCount val="1"/>
                <c:pt idx="0">
                  <c:v>Female</c:v>
                </c:pt>
              </c:strCache>
            </c:strRef>
          </c:tx>
          <c:spPr>
            <a:solidFill>
              <a:srgbClr val="FFFF00"/>
            </a:solidFill>
            <a:ln>
              <a:noFill/>
            </a:ln>
            <a:effectLst/>
          </c:spPr>
          <c:invertIfNegative val="0"/>
          <c:cat>
            <c:strRef>
              <c:f>'Pivot Table'!$K$18:$K$23</c:f>
              <c:strCache>
                <c:ptCount val="5"/>
                <c:pt idx="0">
                  <c:v>18-25</c:v>
                </c:pt>
                <c:pt idx="1">
                  <c:v>26-35</c:v>
                </c:pt>
                <c:pt idx="2">
                  <c:v>36-45</c:v>
                </c:pt>
                <c:pt idx="3">
                  <c:v>46-55</c:v>
                </c:pt>
                <c:pt idx="4">
                  <c:v>56 &lt;</c:v>
                </c:pt>
              </c:strCache>
            </c:strRef>
          </c:cat>
          <c:val>
            <c:numRef>
              <c:f>'Pivot Table'!$L$18:$L$23</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1369-451A-93F3-E4E8D3A6E878}"/>
            </c:ext>
          </c:extLst>
        </c:ser>
        <c:ser>
          <c:idx val="1"/>
          <c:order val="1"/>
          <c:tx>
            <c:strRef>
              <c:f>'Pivot Table'!$M$16:$M$17</c:f>
              <c:strCache>
                <c:ptCount val="1"/>
                <c:pt idx="0">
                  <c:v>Male</c:v>
                </c:pt>
              </c:strCache>
            </c:strRef>
          </c:tx>
          <c:spPr>
            <a:solidFill>
              <a:schemeClr val="bg1">
                <a:lumMod val="85000"/>
              </a:schemeClr>
            </a:solidFill>
            <a:ln>
              <a:noFill/>
            </a:ln>
            <a:effectLst/>
          </c:spPr>
          <c:invertIfNegative val="0"/>
          <c:cat>
            <c:strRef>
              <c:f>'Pivot Table'!$K$18:$K$23</c:f>
              <c:strCache>
                <c:ptCount val="5"/>
                <c:pt idx="0">
                  <c:v>18-25</c:v>
                </c:pt>
                <c:pt idx="1">
                  <c:v>26-35</c:v>
                </c:pt>
                <c:pt idx="2">
                  <c:v>36-45</c:v>
                </c:pt>
                <c:pt idx="3">
                  <c:v>46-55</c:v>
                </c:pt>
                <c:pt idx="4">
                  <c:v>56 &lt;</c:v>
                </c:pt>
              </c:strCache>
            </c:strRef>
          </c:cat>
          <c:val>
            <c:numRef>
              <c:f>'Pivot Table'!$M$18:$M$23</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7-D072-4BA9-AAFD-1DD330DC5017}"/>
            </c:ext>
          </c:extLst>
        </c:ser>
        <c:dLbls>
          <c:showLegendKey val="0"/>
          <c:showVal val="0"/>
          <c:showCatName val="0"/>
          <c:showSerName val="0"/>
          <c:showPercent val="0"/>
          <c:showBubbleSize val="0"/>
        </c:dLbls>
        <c:gapWidth val="219"/>
        <c:overlap val="-27"/>
        <c:axId val="1786990719"/>
        <c:axId val="1786991679"/>
      </c:barChart>
      <c:catAx>
        <c:axId val="178699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6991679"/>
        <c:crosses val="autoZero"/>
        <c:auto val="1"/>
        <c:lblAlgn val="ctr"/>
        <c:lblOffset val="100"/>
        <c:noMultiLvlLbl val="0"/>
      </c:catAx>
      <c:valAx>
        <c:axId val="178699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6990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412698412698416E-2"/>
          <c:y val="0.29971190624154731"/>
          <c:w val="0.86708994708994713"/>
          <c:h val="0.56105064362723434"/>
        </c:manualLayout>
      </c:layout>
      <c:barChart>
        <c:barDir val="bar"/>
        <c:grouping val="clustered"/>
        <c:varyColors val="0"/>
        <c:dLbls>
          <c:showLegendKey val="0"/>
          <c:showVal val="0"/>
          <c:showCatName val="0"/>
          <c:showSerName val="0"/>
          <c:showPercent val="0"/>
          <c:showBubbleSize val="0"/>
        </c:dLbls>
        <c:gapWidth val="182"/>
        <c:axId val="1868465696"/>
        <c:axId val="1868470976"/>
      </c:barChart>
      <c:catAx>
        <c:axId val="1868465696"/>
        <c:scaling>
          <c:orientation val="minMax"/>
        </c:scaling>
        <c:delete val="1"/>
        <c:axPos val="l"/>
        <c:numFmt formatCode="General" sourceLinked="1"/>
        <c:majorTickMark val="none"/>
        <c:minorTickMark val="none"/>
        <c:tickLblPos val="nextTo"/>
        <c:crossAx val="1868470976"/>
        <c:crosses val="autoZero"/>
        <c:auto val="1"/>
        <c:lblAlgn val="ctr"/>
        <c:lblOffset val="100"/>
        <c:noMultiLvlLbl val="0"/>
      </c:catAx>
      <c:valAx>
        <c:axId val="1868470976"/>
        <c:scaling>
          <c:orientation val="minMax"/>
        </c:scaling>
        <c:delete val="1"/>
        <c:axPos val="b"/>
        <c:numFmt formatCode="General" sourceLinked="1"/>
        <c:majorTickMark val="none"/>
        <c:minorTickMark val="none"/>
        <c:tickLblPos val="nextTo"/>
        <c:crossAx val="186846569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851855212200204E-2"/>
          <c:y val="0"/>
          <c:w val="0.87325102059239945"/>
          <c:h val="0.946913490118371"/>
        </c:manualLayout>
      </c:layout>
      <c:barChart>
        <c:barDir val="col"/>
        <c:grouping val="clustered"/>
        <c:varyColors val="0"/>
        <c:dLbls>
          <c:showLegendKey val="0"/>
          <c:showVal val="0"/>
          <c:showCatName val="0"/>
          <c:showSerName val="0"/>
          <c:showPercent val="0"/>
          <c:showBubbleSize val="0"/>
        </c:dLbls>
        <c:gapWidth val="234"/>
        <c:overlap val="-45"/>
        <c:axId val="1862541952"/>
        <c:axId val="1862547232"/>
      </c:barChart>
      <c:catAx>
        <c:axId val="1862541952"/>
        <c:scaling>
          <c:orientation val="minMax"/>
        </c:scaling>
        <c:delete val="1"/>
        <c:axPos val="b"/>
        <c:numFmt formatCode="General" sourceLinked="1"/>
        <c:majorTickMark val="none"/>
        <c:minorTickMark val="none"/>
        <c:tickLblPos val="nextTo"/>
        <c:crossAx val="1862547232"/>
        <c:crosses val="autoZero"/>
        <c:auto val="1"/>
        <c:lblAlgn val="ctr"/>
        <c:lblOffset val="100"/>
        <c:noMultiLvlLbl val="0"/>
      </c:catAx>
      <c:valAx>
        <c:axId val="1862547232"/>
        <c:scaling>
          <c:orientation val="minMax"/>
        </c:scaling>
        <c:delete val="1"/>
        <c:axPos val="l"/>
        <c:majorGridlines>
          <c:spPr>
            <a:ln w="9525" cap="flat" cmpd="sng" algn="ctr">
              <a:noFill/>
              <a:prstDash val="sysDot"/>
              <a:round/>
            </a:ln>
            <a:effectLst/>
          </c:spPr>
        </c:majorGridlines>
        <c:numFmt formatCode="General" sourceLinked="1"/>
        <c:majorTickMark val="none"/>
        <c:minorTickMark val="none"/>
        <c:tickLblPos val="nextTo"/>
        <c:crossAx val="1862541952"/>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 Table!PivotTable6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pivotFmt>
      <c:pivotFmt>
        <c:idx val="4"/>
        <c:spPr>
          <a:solidFill>
            <a:schemeClr val="accent6">
              <a:lumMod val="40000"/>
              <a:lumOff val="60000"/>
            </a:schemeClr>
          </a:solidFill>
          <a:ln>
            <a:noFill/>
          </a:ln>
          <a:effectLst/>
        </c:spPr>
      </c:pivotFmt>
      <c:pivotFmt>
        <c:idx val="5"/>
        <c:spPr>
          <a:solidFill>
            <a:srgbClr val="FFC000"/>
          </a:solidFill>
          <a:ln>
            <a:noFill/>
          </a:ln>
          <a:effectLst/>
        </c:spPr>
      </c:pivotFmt>
      <c:pivotFmt>
        <c:idx val="6"/>
        <c:spPr>
          <a:solidFill>
            <a:schemeClr val="bg2">
              <a:lumMod val="50000"/>
            </a:schemeClr>
          </a:solidFill>
          <a:ln>
            <a:noFill/>
          </a:ln>
          <a:effectLst/>
        </c:spPr>
      </c:pivotFmt>
      <c:pivotFmt>
        <c:idx val="7"/>
        <c:spPr>
          <a:solidFill>
            <a:srgbClr val="FFFF00"/>
          </a:solidFill>
          <a:ln>
            <a:noFill/>
          </a:ln>
          <a:effectLst/>
        </c:spPr>
      </c:pivotFmt>
    </c:pivotFmts>
    <c:plotArea>
      <c:layout>
        <c:manualLayout>
          <c:layoutTarget val="inner"/>
          <c:xMode val="edge"/>
          <c:yMode val="edge"/>
          <c:x val="3.321784776902887E-2"/>
          <c:y val="0"/>
          <c:w val="0.89054730655881753"/>
          <c:h val="0.89261744966442957"/>
        </c:manualLayout>
      </c:layout>
      <c:barChart>
        <c:barDir val="col"/>
        <c:grouping val="stacked"/>
        <c:varyColors val="0"/>
        <c:ser>
          <c:idx val="0"/>
          <c:order val="0"/>
          <c:tx>
            <c:strRef>
              <c:f>'Pivot Table'!$L$39</c:f>
              <c:strCache>
                <c:ptCount val="1"/>
                <c:pt idx="0">
                  <c:v>Total</c:v>
                </c:pt>
              </c:strCache>
            </c:strRef>
          </c:tx>
          <c:spPr>
            <a:solidFill>
              <a:schemeClr val="accent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44C4-4BB9-8232-B5A595E8DE72}"/>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44C4-4BB9-8232-B5A595E8DE72}"/>
              </c:ext>
            </c:extLst>
          </c:dPt>
          <c:dPt>
            <c:idx val="2"/>
            <c:invertIfNegative val="0"/>
            <c:bubble3D val="0"/>
            <c:spPr>
              <a:solidFill>
                <a:srgbClr val="FFC000"/>
              </a:solidFill>
              <a:ln>
                <a:noFill/>
              </a:ln>
              <a:effectLst/>
            </c:spPr>
            <c:extLst>
              <c:ext xmlns:c16="http://schemas.microsoft.com/office/drawing/2014/chart" uri="{C3380CC4-5D6E-409C-BE32-E72D297353CC}">
                <c16:uniqueId val="{00000003-44C4-4BB9-8232-B5A595E8DE72}"/>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4-44C4-4BB9-8232-B5A595E8DE72}"/>
              </c:ext>
            </c:extLst>
          </c:dPt>
          <c:dPt>
            <c:idx val="4"/>
            <c:invertIfNegative val="0"/>
            <c:bubble3D val="0"/>
            <c:spPr>
              <a:solidFill>
                <a:srgbClr val="FFFF00"/>
              </a:solidFill>
              <a:ln>
                <a:noFill/>
              </a:ln>
              <a:effectLst/>
            </c:spPr>
            <c:extLst>
              <c:ext xmlns:c16="http://schemas.microsoft.com/office/drawing/2014/chart" uri="{C3380CC4-5D6E-409C-BE32-E72D297353CC}">
                <c16:uniqueId val="{00000005-44C4-4BB9-8232-B5A595E8DE72}"/>
              </c:ext>
            </c:extLst>
          </c:dPt>
          <c:cat>
            <c:strRef>
              <c:f>'Pivot Table'!$K$40:$K$45</c:f>
              <c:strCache>
                <c:ptCount val="5"/>
                <c:pt idx="0">
                  <c:v>Analyst</c:v>
                </c:pt>
                <c:pt idx="1">
                  <c:v>Designer</c:v>
                </c:pt>
                <c:pt idx="2">
                  <c:v>Developer</c:v>
                </c:pt>
                <c:pt idx="3">
                  <c:v>HR Specialist</c:v>
                </c:pt>
                <c:pt idx="4">
                  <c:v>Manager</c:v>
                </c:pt>
              </c:strCache>
            </c:strRef>
          </c:cat>
          <c:val>
            <c:numRef>
              <c:f>'Pivot Table'!$L$40:$L$45</c:f>
              <c:numCache>
                <c:formatCode>General</c:formatCode>
                <c:ptCount val="5"/>
                <c:pt idx="0">
                  <c:v>28</c:v>
                </c:pt>
                <c:pt idx="1">
                  <c:v>110</c:v>
                </c:pt>
                <c:pt idx="2">
                  <c:v>104</c:v>
                </c:pt>
                <c:pt idx="3">
                  <c:v>123</c:v>
                </c:pt>
                <c:pt idx="4">
                  <c:v>122</c:v>
                </c:pt>
              </c:numCache>
            </c:numRef>
          </c:val>
          <c:extLst>
            <c:ext xmlns:c16="http://schemas.microsoft.com/office/drawing/2014/chart" uri="{C3380CC4-5D6E-409C-BE32-E72D297353CC}">
              <c16:uniqueId val="{00000000-44C4-4BB9-8232-B5A595E8DE72}"/>
            </c:ext>
          </c:extLst>
        </c:ser>
        <c:dLbls>
          <c:showLegendKey val="0"/>
          <c:showVal val="0"/>
          <c:showCatName val="0"/>
          <c:showSerName val="0"/>
          <c:showPercent val="0"/>
          <c:showBubbleSize val="0"/>
        </c:dLbls>
        <c:gapWidth val="150"/>
        <c:overlap val="100"/>
        <c:axId val="1306105328"/>
        <c:axId val="1306105808"/>
      </c:barChart>
      <c:catAx>
        <c:axId val="1306105328"/>
        <c:scaling>
          <c:orientation val="minMax"/>
        </c:scaling>
        <c:delete val="1"/>
        <c:axPos val="b"/>
        <c:numFmt formatCode="General" sourceLinked="1"/>
        <c:majorTickMark val="none"/>
        <c:minorTickMark val="none"/>
        <c:tickLblPos val="nextTo"/>
        <c:crossAx val="1306105808"/>
        <c:crosses val="autoZero"/>
        <c:auto val="1"/>
        <c:lblAlgn val="ctr"/>
        <c:lblOffset val="100"/>
        <c:noMultiLvlLbl val="0"/>
      </c:catAx>
      <c:valAx>
        <c:axId val="1306105808"/>
        <c:scaling>
          <c:orientation val="minMax"/>
        </c:scaling>
        <c:delete val="1"/>
        <c:axPos val="l"/>
        <c:numFmt formatCode="General" sourceLinked="1"/>
        <c:majorTickMark val="none"/>
        <c:minorTickMark val="none"/>
        <c:tickLblPos val="nextTo"/>
        <c:crossAx val="1306105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 Table!PivotTable4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
        <c:idx val="4"/>
        <c:spPr>
          <a:solidFill>
            <a:schemeClr val="bg1">
              <a:lumMod val="85000"/>
            </a:schemeClr>
          </a:solidFill>
          <a:ln>
            <a:noFill/>
          </a:ln>
          <a:effectLst/>
        </c:spPr>
      </c:pivotFmt>
      <c:pivotFmt>
        <c:idx val="5"/>
        <c:spPr>
          <a:solidFill>
            <a:schemeClr val="bg2">
              <a:lumMod val="50000"/>
            </a:schemeClr>
          </a:solidFill>
          <a:ln>
            <a:noFill/>
          </a:ln>
          <a:effectLst/>
        </c:spPr>
      </c:pivotFmt>
    </c:pivotFmts>
    <c:plotArea>
      <c:layout>
        <c:manualLayout>
          <c:layoutTarget val="inner"/>
          <c:xMode val="edge"/>
          <c:yMode val="edge"/>
          <c:x val="9.7716677307228494E-2"/>
          <c:y val="0.13930348258706468"/>
          <c:w val="0.84648961204330064"/>
          <c:h val="0.6436385004113292"/>
        </c:manualLayout>
      </c:layout>
      <c:barChart>
        <c:barDir val="bar"/>
        <c:grouping val="stacked"/>
        <c:varyColors val="0"/>
        <c:ser>
          <c:idx val="0"/>
          <c:order val="0"/>
          <c:tx>
            <c:strRef>
              <c:f>'Pivot Table'!$R$17</c:f>
              <c:strCache>
                <c:ptCount val="1"/>
                <c:pt idx="0">
                  <c:v>Total</c:v>
                </c:pt>
              </c:strCache>
            </c:strRef>
          </c:tx>
          <c:spPr>
            <a:solidFill>
              <a:schemeClr val="accent1"/>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3-C2E1-40A7-8D84-0682AAD466AA}"/>
              </c:ext>
            </c:extLst>
          </c:dPt>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2-C2E1-40A7-8D84-0682AAD466AA}"/>
              </c:ext>
            </c:extLst>
          </c:dPt>
          <c:dPt>
            <c:idx val="2"/>
            <c:invertIfNegative val="0"/>
            <c:bubble3D val="0"/>
            <c:spPr>
              <a:solidFill>
                <a:srgbClr val="FFFF00"/>
              </a:solidFill>
              <a:ln>
                <a:noFill/>
              </a:ln>
              <a:effectLst/>
            </c:spPr>
            <c:extLst>
              <c:ext xmlns:c16="http://schemas.microsoft.com/office/drawing/2014/chart" uri="{C3380CC4-5D6E-409C-BE32-E72D297353CC}">
                <c16:uniqueId val="{00000001-C2E1-40A7-8D84-0682AAD466AA}"/>
              </c:ext>
            </c:extLst>
          </c:dPt>
          <c:cat>
            <c:strRef>
              <c:f>'Pivot Table'!$Q$18:$Q$21</c:f>
              <c:strCache>
                <c:ptCount val="3"/>
                <c:pt idx="0">
                  <c:v>Branch Office</c:v>
                </c:pt>
                <c:pt idx="1">
                  <c:v>Head Office</c:v>
                </c:pt>
                <c:pt idx="2">
                  <c:v>Remote</c:v>
                </c:pt>
              </c:strCache>
            </c:strRef>
          </c:cat>
          <c:val>
            <c:numRef>
              <c:f>'Pivot Table'!$R$18:$R$21</c:f>
              <c:numCache>
                <c:formatCode>General</c:formatCode>
                <c:ptCount val="3"/>
                <c:pt idx="0">
                  <c:v>23</c:v>
                </c:pt>
                <c:pt idx="1">
                  <c:v>8</c:v>
                </c:pt>
                <c:pt idx="2">
                  <c:v>19</c:v>
                </c:pt>
              </c:numCache>
            </c:numRef>
          </c:val>
          <c:extLst>
            <c:ext xmlns:c16="http://schemas.microsoft.com/office/drawing/2014/chart" uri="{C3380CC4-5D6E-409C-BE32-E72D297353CC}">
              <c16:uniqueId val="{00000000-C2E1-40A7-8D84-0682AAD466AA}"/>
            </c:ext>
          </c:extLst>
        </c:ser>
        <c:dLbls>
          <c:showLegendKey val="0"/>
          <c:showVal val="0"/>
          <c:showCatName val="0"/>
          <c:showSerName val="0"/>
          <c:showPercent val="0"/>
          <c:showBubbleSize val="0"/>
        </c:dLbls>
        <c:gapWidth val="150"/>
        <c:overlap val="100"/>
        <c:axId val="1306135568"/>
        <c:axId val="1306141328"/>
      </c:barChart>
      <c:catAx>
        <c:axId val="1306135568"/>
        <c:scaling>
          <c:orientation val="minMax"/>
        </c:scaling>
        <c:delete val="1"/>
        <c:axPos val="l"/>
        <c:numFmt formatCode="General" sourceLinked="1"/>
        <c:majorTickMark val="none"/>
        <c:minorTickMark val="none"/>
        <c:tickLblPos val="nextTo"/>
        <c:crossAx val="1306141328"/>
        <c:crosses val="autoZero"/>
        <c:auto val="1"/>
        <c:lblAlgn val="ctr"/>
        <c:lblOffset val="100"/>
        <c:noMultiLvlLbl val="0"/>
      </c:catAx>
      <c:valAx>
        <c:axId val="1306141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30613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8A-4490-ABE3-B0E477846E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8A-4490-ABE3-B0E477846E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8A-4490-ABE3-B0E477846EE6}"/>
              </c:ext>
            </c:extLst>
          </c:dPt>
          <c:cat>
            <c:strRef>
              <c:f>'Pivot Table'!$B$11:$B$13</c:f>
              <c:strCache>
                <c:ptCount val="3"/>
                <c:pt idx="0">
                  <c:v>Contract</c:v>
                </c:pt>
                <c:pt idx="1">
                  <c:v>Full-Time</c:v>
                </c:pt>
                <c:pt idx="2">
                  <c:v>Part-Time</c:v>
                </c:pt>
              </c:strCache>
            </c:strRef>
          </c:cat>
          <c:val>
            <c:numRef>
              <c:f>'Pivot Table'!$C$11:$C$13</c:f>
              <c:numCache>
                <c:formatCode>General</c:formatCode>
                <c:ptCount val="3"/>
                <c:pt idx="0">
                  <c:v>17</c:v>
                </c:pt>
                <c:pt idx="1">
                  <c:v>20</c:v>
                </c:pt>
                <c:pt idx="2">
                  <c:v>13</c:v>
                </c:pt>
              </c:numCache>
            </c:numRef>
          </c:val>
          <c:extLst>
            <c:ext xmlns:c16="http://schemas.microsoft.com/office/drawing/2014/chart" uri="{C3380CC4-5D6E-409C-BE32-E72D297353CC}">
              <c16:uniqueId val="{00000000-C707-4600-82DD-DCEDFFECD2F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 Table!PivotTable3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Table'!$L$16:$L$17</c:f>
              <c:strCache>
                <c:ptCount val="1"/>
                <c:pt idx="0">
                  <c:v>Female</c:v>
                </c:pt>
              </c:strCache>
            </c:strRef>
          </c:tx>
          <c:spPr>
            <a:solidFill>
              <a:schemeClr val="accent1"/>
            </a:solidFill>
            <a:ln>
              <a:noFill/>
            </a:ln>
            <a:effectLst/>
          </c:spPr>
          <c:invertIfNegative val="0"/>
          <c:cat>
            <c:strRef>
              <c:f>'Pivot Table'!$K$18:$K$23</c:f>
              <c:strCache>
                <c:ptCount val="5"/>
                <c:pt idx="0">
                  <c:v>18-25</c:v>
                </c:pt>
                <c:pt idx="1">
                  <c:v>26-35</c:v>
                </c:pt>
                <c:pt idx="2">
                  <c:v>36-45</c:v>
                </c:pt>
                <c:pt idx="3">
                  <c:v>46-55</c:v>
                </c:pt>
                <c:pt idx="4">
                  <c:v>56 &lt;</c:v>
                </c:pt>
              </c:strCache>
            </c:strRef>
          </c:cat>
          <c:val>
            <c:numRef>
              <c:f>'Pivot Table'!$L$18:$L$23</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5DAF-4FFE-BB58-F7E437240EED}"/>
            </c:ext>
          </c:extLst>
        </c:ser>
        <c:ser>
          <c:idx val="1"/>
          <c:order val="1"/>
          <c:tx>
            <c:strRef>
              <c:f>'Pivot Table'!$M$16:$M$17</c:f>
              <c:strCache>
                <c:ptCount val="1"/>
                <c:pt idx="0">
                  <c:v>Male</c:v>
                </c:pt>
              </c:strCache>
            </c:strRef>
          </c:tx>
          <c:spPr>
            <a:solidFill>
              <a:schemeClr val="accent2"/>
            </a:solidFill>
            <a:ln>
              <a:noFill/>
            </a:ln>
            <a:effectLst/>
          </c:spPr>
          <c:invertIfNegative val="0"/>
          <c:cat>
            <c:strRef>
              <c:f>'Pivot Table'!$K$18:$K$23</c:f>
              <c:strCache>
                <c:ptCount val="5"/>
                <c:pt idx="0">
                  <c:v>18-25</c:v>
                </c:pt>
                <c:pt idx="1">
                  <c:v>26-35</c:v>
                </c:pt>
                <c:pt idx="2">
                  <c:v>36-45</c:v>
                </c:pt>
                <c:pt idx="3">
                  <c:v>46-55</c:v>
                </c:pt>
                <c:pt idx="4">
                  <c:v>56 &lt;</c:v>
                </c:pt>
              </c:strCache>
            </c:strRef>
          </c:cat>
          <c:val>
            <c:numRef>
              <c:f>'Pivot Table'!$M$18:$M$23</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7-7E4D-49CD-8FD9-331C3CF526BF}"/>
            </c:ext>
          </c:extLst>
        </c:ser>
        <c:dLbls>
          <c:showLegendKey val="0"/>
          <c:showVal val="0"/>
          <c:showCatName val="0"/>
          <c:showSerName val="0"/>
          <c:showPercent val="0"/>
          <c:showBubbleSize val="0"/>
        </c:dLbls>
        <c:gapWidth val="219"/>
        <c:overlap val="-27"/>
        <c:axId val="1786990719"/>
        <c:axId val="1786991679"/>
      </c:barChart>
      <c:catAx>
        <c:axId val="178699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991679"/>
        <c:crosses val="autoZero"/>
        <c:auto val="1"/>
        <c:lblAlgn val="ctr"/>
        <c:lblOffset val="100"/>
        <c:noMultiLvlLbl val="0"/>
      </c:catAx>
      <c:valAx>
        <c:axId val="178699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99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6180381298491537"/>
          <c:y val="1.95599072213534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'Pivot Table'!$F$13:$F$17</c:f>
              <c:strCache>
                <c:ptCount val="5"/>
                <c:pt idx="0">
                  <c:v>Analyst</c:v>
                </c:pt>
                <c:pt idx="1">
                  <c:v>Designer</c:v>
                </c:pt>
                <c:pt idx="2">
                  <c:v>Developer</c:v>
                </c:pt>
                <c:pt idx="3">
                  <c:v>HR Specialist</c:v>
                </c:pt>
                <c:pt idx="4">
                  <c:v>Manager</c:v>
                </c:pt>
              </c:strCache>
            </c:strRef>
          </c:cat>
          <c:val>
            <c:numRef>
              <c:f>'Pivot Table'!$H$13:$H$17</c:f>
              <c:numCache>
                <c:formatCode>General</c:formatCode>
                <c:ptCount val="5"/>
                <c:pt idx="0">
                  <c:v>28</c:v>
                </c:pt>
                <c:pt idx="1">
                  <c:v>110</c:v>
                </c:pt>
                <c:pt idx="2">
                  <c:v>104</c:v>
                </c:pt>
                <c:pt idx="3">
                  <c:v>123</c:v>
                </c:pt>
                <c:pt idx="4">
                  <c:v>122</c:v>
                </c:pt>
              </c:numCache>
            </c:numRef>
          </c:val>
          <c:extLst>
            <c:ext xmlns:c16="http://schemas.microsoft.com/office/drawing/2014/chart" uri="{C3380CC4-5D6E-409C-BE32-E72D297353CC}">
              <c16:uniqueId val="{00000000-6F37-41DF-BC17-574BE6F62C30}"/>
            </c:ext>
          </c:extLst>
        </c:ser>
        <c:dLbls>
          <c:showLegendKey val="0"/>
          <c:showVal val="0"/>
          <c:showCatName val="0"/>
          <c:showSerName val="0"/>
          <c:showPercent val="0"/>
          <c:showBubbleSize val="0"/>
        </c:dLbls>
        <c:gapWidth val="219"/>
        <c:overlap val="-27"/>
        <c:axId val="1862541952"/>
        <c:axId val="1862547232"/>
      </c:barChart>
      <c:catAx>
        <c:axId val="186254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547232"/>
        <c:crosses val="autoZero"/>
        <c:auto val="1"/>
        <c:lblAlgn val="ctr"/>
        <c:lblOffset val="100"/>
        <c:noMultiLvlLbl val="0"/>
      </c:catAx>
      <c:valAx>
        <c:axId val="186254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541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Table'!$L$39</c:f>
              <c:strCache>
                <c:ptCount val="1"/>
                <c:pt idx="0">
                  <c:v>Total</c:v>
                </c:pt>
              </c:strCache>
            </c:strRef>
          </c:tx>
          <c:spPr>
            <a:solidFill>
              <a:schemeClr val="accent1"/>
            </a:solidFill>
            <a:ln>
              <a:noFill/>
            </a:ln>
            <a:effectLst/>
          </c:spPr>
          <c:invertIfNegative val="0"/>
          <c:cat>
            <c:strRef>
              <c:f>'Pivot Table'!$K$40:$K$45</c:f>
              <c:strCache>
                <c:ptCount val="5"/>
                <c:pt idx="0">
                  <c:v>Analyst</c:v>
                </c:pt>
                <c:pt idx="1">
                  <c:v>Designer</c:v>
                </c:pt>
                <c:pt idx="2">
                  <c:v>Developer</c:v>
                </c:pt>
                <c:pt idx="3">
                  <c:v>HR Specialist</c:v>
                </c:pt>
                <c:pt idx="4">
                  <c:v>Manager</c:v>
                </c:pt>
              </c:strCache>
            </c:strRef>
          </c:cat>
          <c:val>
            <c:numRef>
              <c:f>'Pivot Table'!$L$40:$L$45</c:f>
              <c:numCache>
                <c:formatCode>General</c:formatCode>
                <c:ptCount val="5"/>
                <c:pt idx="0">
                  <c:v>28</c:v>
                </c:pt>
                <c:pt idx="1">
                  <c:v>110</c:v>
                </c:pt>
                <c:pt idx="2">
                  <c:v>104</c:v>
                </c:pt>
                <c:pt idx="3">
                  <c:v>123</c:v>
                </c:pt>
                <c:pt idx="4">
                  <c:v>122</c:v>
                </c:pt>
              </c:numCache>
            </c:numRef>
          </c:val>
          <c:extLst>
            <c:ext xmlns:c16="http://schemas.microsoft.com/office/drawing/2014/chart" uri="{C3380CC4-5D6E-409C-BE32-E72D297353CC}">
              <c16:uniqueId val="{00000000-C48F-4442-8455-95EEC63861C8}"/>
            </c:ext>
          </c:extLst>
        </c:ser>
        <c:dLbls>
          <c:showLegendKey val="0"/>
          <c:showVal val="0"/>
          <c:showCatName val="0"/>
          <c:showSerName val="0"/>
          <c:showPercent val="0"/>
          <c:showBubbleSize val="0"/>
        </c:dLbls>
        <c:gapWidth val="150"/>
        <c:overlap val="100"/>
        <c:axId val="1306105328"/>
        <c:axId val="1306105808"/>
      </c:barChart>
      <c:catAx>
        <c:axId val="130610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105808"/>
        <c:crosses val="autoZero"/>
        <c:auto val="1"/>
        <c:lblAlgn val="ctr"/>
        <c:lblOffset val="100"/>
        <c:noMultiLvlLbl val="0"/>
      </c:catAx>
      <c:valAx>
        <c:axId val="130610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10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 Table!PivotTable4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Table'!$R$17</c:f>
              <c:strCache>
                <c:ptCount val="1"/>
                <c:pt idx="0">
                  <c:v>Total</c:v>
                </c:pt>
              </c:strCache>
            </c:strRef>
          </c:tx>
          <c:spPr>
            <a:solidFill>
              <a:schemeClr val="accent1"/>
            </a:solidFill>
            <a:ln>
              <a:noFill/>
            </a:ln>
            <a:effectLst/>
          </c:spPr>
          <c:invertIfNegative val="0"/>
          <c:cat>
            <c:strRef>
              <c:f>'Pivot Table'!$Q$18:$Q$21</c:f>
              <c:strCache>
                <c:ptCount val="3"/>
                <c:pt idx="0">
                  <c:v>Branch Office</c:v>
                </c:pt>
                <c:pt idx="1">
                  <c:v>Head Office</c:v>
                </c:pt>
                <c:pt idx="2">
                  <c:v>Remote</c:v>
                </c:pt>
              </c:strCache>
            </c:strRef>
          </c:cat>
          <c:val>
            <c:numRef>
              <c:f>'Pivot Table'!$R$18:$R$21</c:f>
              <c:numCache>
                <c:formatCode>General</c:formatCode>
                <c:ptCount val="3"/>
                <c:pt idx="0">
                  <c:v>23</c:v>
                </c:pt>
                <c:pt idx="1">
                  <c:v>8</c:v>
                </c:pt>
                <c:pt idx="2">
                  <c:v>19</c:v>
                </c:pt>
              </c:numCache>
            </c:numRef>
          </c:val>
          <c:extLst>
            <c:ext xmlns:c16="http://schemas.microsoft.com/office/drawing/2014/chart" uri="{C3380CC4-5D6E-409C-BE32-E72D297353CC}">
              <c16:uniqueId val="{00000000-443E-41EB-8880-C02C636E840C}"/>
            </c:ext>
          </c:extLst>
        </c:ser>
        <c:dLbls>
          <c:showLegendKey val="0"/>
          <c:showVal val="0"/>
          <c:showCatName val="0"/>
          <c:showSerName val="0"/>
          <c:showPercent val="0"/>
          <c:showBubbleSize val="0"/>
        </c:dLbls>
        <c:gapWidth val="150"/>
        <c:overlap val="100"/>
        <c:axId val="1306135568"/>
        <c:axId val="1306141328"/>
      </c:barChart>
      <c:catAx>
        <c:axId val="130613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141328"/>
        <c:crosses val="autoZero"/>
        <c:auto val="1"/>
        <c:lblAlgn val="ctr"/>
        <c:lblOffset val="100"/>
        <c:noMultiLvlLbl val="0"/>
      </c:catAx>
      <c:valAx>
        <c:axId val="13061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13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image" Target="../media/image8.png"/><Relationship Id="rId17" Type="http://schemas.openxmlformats.org/officeDocument/2006/relationships/chart" Target="../charts/chart6.xml"/><Relationship Id="rId2" Type="http://schemas.openxmlformats.org/officeDocument/2006/relationships/chart" Target="../charts/chart2.xml"/><Relationship Id="rId16" Type="http://schemas.openxmlformats.org/officeDocument/2006/relationships/chart" Target="../charts/chart5.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4.xml"/><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image" Target="../media/image1.png"/><Relationship Id="rId9" Type="http://schemas.openxmlformats.org/officeDocument/2006/relationships/image" Target="../media/image5.svg"/><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10</xdr:col>
      <xdr:colOff>312965</xdr:colOff>
      <xdr:row>28</xdr:row>
      <xdr:rowOff>176893</xdr:rowOff>
    </xdr:from>
    <xdr:to>
      <xdr:col>12</xdr:col>
      <xdr:colOff>168322</xdr:colOff>
      <xdr:row>30</xdr:row>
      <xdr:rowOff>47893</xdr:rowOff>
    </xdr:to>
    <xdr:sp macro="" textlink="">
      <xdr:nvSpPr>
        <xdr:cNvPr id="1024" name="Rectangle: Rounded Corners 1023">
          <a:extLst>
            <a:ext uri="{FF2B5EF4-FFF2-40B4-BE49-F238E27FC236}">
              <a16:creationId xmlns:a16="http://schemas.microsoft.com/office/drawing/2014/main" id="{00000000-0008-0000-0000-000000040000}"/>
            </a:ext>
          </a:extLst>
        </xdr:cNvPr>
        <xdr:cNvSpPr/>
      </xdr:nvSpPr>
      <xdr:spPr>
        <a:xfrm>
          <a:off x="6436179" y="5510893"/>
          <a:ext cx="1080000" cy="252000"/>
        </a:xfrm>
        <a:prstGeom prst="roundRect">
          <a:avLst/>
        </a:prstGeom>
        <a:solidFill>
          <a:srgbClr val="2218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312965</xdr:colOff>
      <xdr:row>26</xdr:row>
      <xdr:rowOff>163286</xdr:rowOff>
    </xdr:from>
    <xdr:to>
      <xdr:col>12</xdr:col>
      <xdr:colOff>168322</xdr:colOff>
      <xdr:row>28</xdr:row>
      <xdr:rowOff>34286</xdr:rowOff>
    </xdr:to>
    <xdr:sp macro="" textlink="">
      <xdr:nvSpPr>
        <xdr:cNvPr id="1036" name="Rectangle: Rounded Corners 1035">
          <a:extLst>
            <a:ext uri="{FF2B5EF4-FFF2-40B4-BE49-F238E27FC236}">
              <a16:creationId xmlns:a16="http://schemas.microsoft.com/office/drawing/2014/main" id="{00000000-0008-0000-0000-00000C040000}"/>
            </a:ext>
          </a:extLst>
        </xdr:cNvPr>
        <xdr:cNvSpPr/>
      </xdr:nvSpPr>
      <xdr:spPr>
        <a:xfrm>
          <a:off x="6436179" y="5116286"/>
          <a:ext cx="1080000" cy="252000"/>
        </a:xfrm>
        <a:prstGeom prst="roundRect">
          <a:avLst/>
        </a:prstGeom>
        <a:solidFill>
          <a:srgbClr val="2218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312965</xdr:colOff>
      <xdr:row>25</xdr:row>
      <xdr:rowOff>13608</xdr:rowOff>
    </xdr:from>
    <xdr:to>
      <xdr:col>12</xdr:col>
      <xdr:colOff>168322</xdr:colOff>
      <xdr:row>26</xdr:row>
      <xdr:rowOff>75108</xdr:rowOff>
    </xdr:to>
    <xdr:sp macro="" textlink="">
      <xdr:nvSpPr>
        <xdr:cNvPr id="1037" name="Rectangle: Rounded Corners 1036">
          <a:extLst>
            <a:ext uri="{FF2B5EF4-FFF2-40B4-BE49-F238E27FC236}">
              <a16:creationId xmlns:a16="http://schemas.microsoft.com/office/drawing/2014/main" id="{00000000-0008-0000-0000-00000D040000}"/>
            </a:ext>
          </a:extLst>
        </xdr:cNvPr>
        <xdr:cNvSpPr/>
      </xdr:nvSpPr>
      <xdr:spPr>
        <a:xfrm>
          <a:off x="6436179" y="4776108"/>
          <a:ext cx="1080000" cy="252000"/>
        </a:xfrm>
        <a:prstGeom prst="roundRect">
          <a:avLst/>
        </a:prstGeom>
        <a:solidFill>
          <a:srgbClr val="2218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312965</xdr:colOff>
      <xdr:row>22</xdr:row>
      <xdr:rowOff>136073</xdr:rowOff>
    </xdr:from>
    <xdr:to>
      <xdr:col>12</xdr:col>
      <xdr:colOff>168322</xdr:colOff>
      <xdr:row>24</xdr:row>
      <xdr:rowOff>7073</xdr:rowOff>
    </xdr:to>
    <xdr:sp macro="" textlink="">
      <xdr:nvSpPr>
        <xdr:cNvPr id="1038" name="Rectangle: Rounded Corners 1037">
          <a:extLst>
            <a:ext uri="{FF2B5EF4-FFF2-40B4-BE49-F238E27FC236}">
              <a16:creationId xmlns:a16="http://schemas.microsoft.com/office/drawing/2014/main" id="{00000000-0008-0000-0000-00000E040000}"/>
            </a:ext>
          </a:extLst>
        </xdr:cNvPr>
        <xdr:cNvSpPr/>
      </xdr:nvSpPr>
      <xdr:spPr>
        <a:xfrm>
          <a:off x="6436179" y="4327073"/>
          <a:ext cx="1080000" cy="252000"/>
        </a:xfrm>
        <a:prstGeom prst="roundRect">
          <a:avLst/>
        </a:prstGeom>
        <a:solidFill>
          <a:srgbClr val="2218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312965</xdr:colOff>
      <xdr:row>20</xdr:row>
      <xdr:rowOff>122466</xdr:rowOff>
    </xdr:from>
    <xdr:to>
      <xdr:col>12</xdr:col>
      <xdr:colOff>168322</xdr:colOff>
      <xdr:row>21</xdr:row>
      <xdr:rowOff>183966</xdr:rowOff>
    </xdr:to>
    <xdr:sp macro="" textlink="">
      <xdr:nvSpPr>
        <xdr:cNvPr id="1039" name="Rectangle: Rounded Corners 1038">
          <a:extLst>
            <a:ext uri="{FF2B5EF4-FFF2-40B4-BE49-F238E27FC236}">
              <a16:creationId xmlns:a16="http://schemas.microsoft.com/office/drawing/2014/main" id="{00000000-0008-0000-0000-00000F040000}"/>
            </a:ext>
          </a:extLst>
        </xdr:cNvPr>
        <xdr:cNvSpPr/>
      </xdr:nvSpPr>
      <xdr:spPr>
        <a:xfrm>
          <a:off x="6436179" y="3932466"/>
          <a:ext cx="1080000" cy="252000"/>
        </a:xfrm>
        <a:prstGeom prst="roundRect">
          <a:avLst/>
        </a:prstGeom>
        <a:solidFill>
          <a:srgbClr val="2218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312965</xdr:colOff>
      <xdr:row>18</xdr:row>
      <xdr:rowOff>95251</xdr:rowOff>
    </xdr:from>
    <xdr:to>
      <xdr:col>12</xdr:col>
      <xdr:colOff>168322</xdr:colOff>
      <xdr:row>19</xdr:row>
      <xdr:rowOff>156751</xdr:rowOff>
    </xdr:to>
    <xdr:sp macro="" textlink="">
      <xdr:nvSpPr>
        <xdr:cNvPr id="1040" name="Rectangle: Rounded Corners 1039">
          <a:extLst>
            <a:ext uri="{FF2B5EF4-FFF2-40B4-BE49-F238E27FC236}">
              <a16:creationId xmlns:a16="http://schemas.microsoft.com/office/drawing/2014/main" id="{00000000-0008-0000-0000-000010040000}"/>
            </a:ext>
          </a:extLst>
        </xdr:cNvPr>
        <xdr:cNvSpPr/>
      </xdr:nvSpPr>
      <xdr:spPr>
        <a:xfrm>
          <a:off x="6436179" y="3524251"/>
          <a:ext cx="1080000" cy="25200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0</xdr:row>
      <xdr:rowOff>1</xdr:rowOff>
    </xdr:from>
    <xdr:to>
      <xdr:col>17</xdr:col>
      <xdr:colOff>353785</xdr:colOff>
      <xdr:row>31</xdr:row>
      <xdr:rowOff>149679</xdr:rowOff>
    </xdr:to>
    <xdr:sp macro="" textlink="">
      <xdr:nvSpPr>
        <xdr:cNvPr id="7" name="Rectangle 6">
          <a:extLst>
            <a:ext uri="{FF2B5EF4-FFF2-40B4-BE49-F238E27FC236}">
              <a16:creationId xmlns:a16="http://schemas.microsoft.com/office/drawing/2014/main" id="{00000000-0008-0000-0000-000007000000}"/>
            </a:ext>
          </a:extLst>
        </xdr:cNvPr>
        <xdr:cNvSpPr/>
      </xdr:nvSpPr>
      <xdr:spPr>
        <a:xfrm>
          <a:off x="1" y="1"/>
          <a:ext cx="10899320" cy="6055178"/>
        </a:xfrm>
        <a:prstGeom prst="rect">
          <a:avLst/>
        </a:prstGeom>
        <a:solidFill>
          <a:srgbClr val="1F1F1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231321</xdr:colOff>
      <xdr:row>21</xdr:row>
      <xdr:rowOff>95250</xdr:rowOff>
    </xdr:from>
    <xdr:to>
      <xdr:col>3</xdr:col>
      <xdr:colOff>302357</xdr:colOff>
      <xdr:row>30</xdr:row>
      <xdr:rowOff>180750</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231321" y="4095750"/>
          <a:ext cx="1908000" cy="1800000"/>
        </a:xfrm>
        <a:prstGeom prst="roundRect">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xdr:colOff>
      <xdr:row>0</xdr:row>
      <xdr:rowOff>0</xdr:rowOff>
    </xdr:from>
    <xdr:to>
      <xdr:col>16</xdr:col>
      <xdr:colOff>504825</xdr:colOff>
      <xdr:row>39</xdr:row>
      <xdr:rowOff>84044</xdr:rowOff>
    </xdr:to>
    <xdr:sp macro="" textlink="">
      <xdr:nvSpPr>
        <xdr:cNvPr id="9" name="Rectangle 8">
          <a:extLst>
            <a:ext uri="{FF2B5EF4-FFF2-40B4-BE49-F238E27FC236}">
              <a16:creationId xmlns:a16="http://schemas.microsoft.com/office/drawing/2014/main" id="{00000000-0008-0000-0000-000009000000}"/>
            </a:ext>
          </a:extLst>
        </xdr:cNvPr>
        <xdr:cNvSpPr/>
      </xdr:nvSpPr>
      <xdr:spPr>
        <a:xfrm>
          <a:off x="28575" y="0"/>
          <a:ext cx="10372725" cy="7513544"/>
        </a:xfrm>
        <a:prstGeom prst="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bg1"/>
            </a:solidFill>
          </a:endParaRPr>
        </a:p>
      </xdr:txBody>
    </xdr:sp>
    <xdr:clientData/>
  </xdr:twoCellAnchor>
  <xdr:twoCellAnchor>
    <xdr:from>
      <xdr:col>0</xdr:col>
      <xdr:colOff>76200</xdr:colOff>
      <xdr:row>20</xdr:row>
      <xdr:rowOff>152399</xdr:rowOff>
    </xdr:from>
    <xdr:to>
      <xdr:col>3</xdr:col>
      <xdr:colOff>292831</xdr:colOff>
      <xdr:row>32</xdr:row>
      <xdr:rowOff>9525</xdr:rowOff>
    </xdr:to>
    <xdr:sp macro="" textlink="">
      <xdr:nvSpPr>
        <xdr:cNvPr id="10" name="Rectangle: Rounded Corners 9">
          <a:extLst>
            <a:ext uri="{FF2B5EF4-FFF2-40B4-BE49-F238E27FC236}">
              <a16:creationId xmlns:a16="http://schemas.microsoft.com/office/drawing/2014/main" id="{00000000-0008-0000-0000-00000A000000}"/>
            </a:ext>
          </a:extLst>
        </xdr:cNvPr>
        <xdr:cNvSpPr/>
      </xdr:nvSpPr>
      <xdr:spPr>
        <a:xfrm>
          <a:off x="76200" y="3962399"/>
          <a:ext cx="2045431" cy="2143126"/>
        </a:xfrm>
        <a:prstGeom prst="roundRect">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451755</xdr:colOff>
      <xdr:row>18</xdr:row>
      <xdr:rowOff>182336</xdr:rowOff>
    </xdr:from>
    <xdr:to>
      <xdr:col>8</xdr:col>
      <xdr:colOff>84363</xdr:colOff>
      <xdr:row>31</xdr:row>
      <xdr:rowOff>5442</xdr:rowOff>
    </xdr:to>
    <xdr:sp macro="" textlink="">
      <xdr:nvSpPr>
        <xdr:cNvPr id="11" name="Rectangle: Rounded Corners 10">
          <a:extLst>
            <a:ext uri="{FF2B5EF4-FFF2-40B4-BE49-F238E27FC236}">
              <a16:creationId xmlns:a16="http://schemas.microsoft.com/office/drawing/2014/main" id="{00000000-0008-0000-0000-00000B000000}"/>
            </a:ext>
          </a:extLst>
        </xdr:cNvPr>
        <xdr:cNvSpPr/>
      </xdr:nvSpPr>
      <xdr:spPr>
        <a:xfrm>
          <a:off x="2280555" y="3611336"/>
          <a:ext cx="2680608" cy="2299606"/>
        </a:xfrm>
        <a:prstGeom prst="roundRect">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272142</xdr:colOff>
      <xdr:row>5</xdr:row>
      <xdr:rowOff>142875</xdr:rowOff>
    </xdr:from>
    <xdr:to>
      <xdr:col>3</xdr:col>
      <xdr:colOff>343178</xdr:colOff>
      <xdr:row>20</xdr:row>
      <xdr:rowOff>89677</xdr:rowOff>
    </xdr:to>
    <xdr:sp macro="" textlink="">
      <xdr:nvSpPr>
        <xdr:cNvPr id="12" name="Rectangle: Rounded Corners 11">
          <a:extLst>
            <a:ext uri="{FF2B5EF4-FFF2-40B4-BE49-F238E27FC236}">
              <a16:creationId xmlns:a16="http://schemas.microsoft.com/office/drawing/2014/main" id="{00000000-0008-0000-0000-00000C000000}"/>
            </a:ext>
          </a:extLst>
        </xdr:cNvPr>
        <xdr:cNvSpPr/>
      </xdr:nvSpPr>
      <xdr:spPr>
        <a:xfrm>
          <a:off x="272142" y="1095375"/>
          <a:ext cx="1899836" cy="2804302"/>
        </a:xfrm>
        <a:prstGeom prst="roundRect">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244928</xdr:colOff>
      <xdr:row>17</xdr:row>
      <xdr:rowOff>149679</xdr:rowOff>
    </xdr:from>
    <xdr:to>
      <xdr:col>12</xdr:col>
      <xdr:colOff>243642</xdr:colOff>
      <xdr:row>31</xdr:row>
      <xdr:rowOff>26785</xdr:rowOff>
    </xdr:to>
    <xdr:sp macro="" textlink="">
      <xdr:nvSpPr>
        <xdr:cNvPr id="13" name="Rectangle: Rounded Corners 12">
          <a:extLst>
            <a:ext uri="{FF2B5EF4-FFF2-40B4-BE49-F238E27FC236}">
              <a16:creationId xmlns:a16="http://schemas.microsoft.com/office/drawing/2014/main" id="{00000000-0008-0000-0000-00000D000000}"/>
            </a:ext>
          </a:extLst>
        </xdr:cNvPr>
        <xdr:cNvSpPr/>
      </xdr:nvSpPr>
      <xdr:spPr>
        <a:xfrm>
          <a:off x="5143499" y="3388179"/>
          <a:ext cx="2448000" cy="2544106"/>
        </a:xfrm>
        <a:prstGeom prst="roundRect">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176893</xdr:colOff>
      <xdr:row>5</xdr:row>
      <xdr:rowOff>81642</xdr:rowOff>
    </xdr:from>
    <xdr:to>
      <xdr:col>12</xdr:col>
      <xdr:colOff>175607</xdr:colOff>
      <xdr:row>17</xdr:row>
      <xdr:rowOff>135642</xdr:rowOff>
    </xdr:to>
    <xdr:sp macro="" textlink="">
      <xdr:nvSpPr>
        <xdr:cNvPr id="14" name="Rectangle: Rounded Corners 13">
          <a:extLst>
            <a:ext uri="{FF2B5EF4-FFF2-40B4-BE49-F238E27FC236}">
              <a16:creationId xmlns:a16="http://schemas.microsoft.com/office/drawing/2014/main" id="{00000000-0008-0000-0000-00000E000000}"/>
            </a:ext>
          </a:extLst>
        </xdr:cNvPr>
        <xdr:cNvSpPr/>
      </xdr:nvSpPr>
      <xdr:spPr>
        <a:xfrm>
          <a:off x="5053693" y="1034142"/>
          <a:ext cx="2437114" cy="2340000"/>
        </a:xfrm>
        <a:prstGeom prst="roundRect">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416377</xdr:colOff>
      <xdr:row>12</xdr:row>
      <xdr:rowOff>0</xdr:rowOff>
    </xdr:from>
    <xdr:to>
      <xdr:col>8</xdr:col>
      <xdr:colOff>48985</xdr:colOff>
      <xdr:row>15</xdr:row>
      <xdr:rowOff>10886</xdr:rowOff>
    </xdr:to>
    <xdr:sp macro="" textlink="">
      <xdr:nvSpPr>
        <xdr:cNvPr id="15" name="Rectangle: Rounded Corners 14">
          <a:extLst>
            <a:ext uri="{FF2B5EF4-FFF2-40B4-BE49-F238E27FC236}">
              <a16:creationId xmlns:a16="http://schemas.microsoft.com/office/drawing/2014/main" id="{00000000-0008-0000-0000-00000F000000}"/>
            </a:ext>
          </a:extLst>
        </xdr:cNvPr>
        <xdr:cNvSpPr/>
      </xdr:nvSpPr>
      <xdr:spPr>
        <a:xfrm>
          <a:off x="2245177" y="2286000"/>
          <a:ext cx="2680608" cy="582386"/>
        </a:xfrm>
        <a:prstGeom prst="roundRect">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434066</xdr:colOff>
      <xdr:row>11</xdr:row>
      <xdr:rowOff>152400</xdr:rowOff>
    </xdr:from>
    <xdr:to>
      <xdr:col>5</xdr:col>
      <xdr:colOff>469423</xdr:colOff>
      <xdr:row>18</xdr:row>
      <xdr:rowOff>78900</xdr:rowOff>
    </xdr:to>
    <xdr:sp macro="" textlink="">
      <xdr:nvSpPr>
        <xdr:cNvPr id="16" name="Rectangle: Rounded Corners 15">
          <a:extLst>
            <a:ext uri="{FF2B5EF4-FFF2-40B4-BE49-F238E27FC236}">
              <a16:creationId xmlns:a16="http://schemas.microsoft.com/office/drawing/2014/main" id="{00000000-0008-0000-0000-000010000000}"/>
            </a:ext>
          </a:extLst>
        </xdr:cNvPr>
        <xdr:cNvSpPr/>
      </xdr:nvSpPr>
      <xdr:spPr>
        <a:xfrm>
          <a:off x="2262866" y="2247900"/>
          <a:ext cx="1254557" cy="1260000"/>
        </a:xfrm>
        <a:prstGeom prst="roundRect">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594630</xdr:colOff>
      <xdr:row>12</xdr:row>
      <xdr:rowOff>0</xdr:rowOff>
    </xdr:from>
    <xdr:to>
      <xdr:col>8</xdr:col>
      <xdr:colOff>20388</xdr:colOff>
      <xdr:row>18</xdr:row>
      <xdr:rowOff>117000</xdr:rowOff>
    </xdr:to>
    <xdr:sp macro="" textlink="">
      <xdr:nvSpPr>
        <xdr:cNvPr id="17" name="Rectangle: Rounded Corners 16">
          <a:extLst>
            <a:ext uri="{FF2B5EF4-FFF2-40B4-BE49-F238E27FC236}">
              <a16:creationId xmlns:a16="http://schemas.microsoft.com/office/drawing/2014/main" id="{00000000-0008-0000-0000-000011000000}"/>
            </a:ext>
          </a:extLst>
        </xdr:cNvPr>
        <xdr:cNvSpPr/>
      </xdr:nvSpPr>
      <xdr:spPr>
        <a:xfrm>
          <a:off x="3642630" y="2286000"/>
          <a:ext cx="1254558" cy="1260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489856</xdr:colOff>
      <xdr:row>25</xdr:row>
      <xdr:rowOff>178663</xdr:rowOff>
    </xdr:from>
    <xdr:to>
      <xdr:col>14</xdr:col>
      <xdr:colOff>345213</xdr:colOff>
      <xdr:row>30</xdr:row>
      <xdr:rowOff>168320</xdr:rowOff>
    </xdr:to>
    <xdr:sp macro="" textlink="">
      <xdr:nvSpPr>
        <xdr:cNvPr id="18" name="Rectangle: Rounded Corners 17">
          <a:extLst>
            <a:ext uri="{FF2B5EF4-FFF2-40B4-BE49-F238E27FC236}">
              <a16:creationId xmlns:a16="http://schemas.microsoft.com/office/drawing/2014/main" id="{00000000-0008-0000-0000-000012000000}"/>
            </a:ext>
          </a:extLst>
        </xdr:cNvPr>
        <xdr:cNvSpPr/>
      </xdr:nvSpPr>
      <xdr:spPr>
        <a:xfrm>
          <a:off x="7837713" y="4941163"/>
          <a:ext cx="1080000" cy="942157"/>
        </a:xfrm>
        <a:prstGeom prst="roundRect">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598713</xdr:colOff>
      <xdr:row>25</xdr:row>
      <xdr:rowOff>178663</xdr:rowOff>
    </xdr:from>
    <xdr:to>
      <xdr:col>16</xdr:col>
      <xdr:colOff>317999</xdr:colOff>
      <xdr:row>30</xdr:row>
      <xdr:rowOff>168320</xdr:rowOff>
    </xdr:to>
    <xdr:sp macro="" textlink="">
      <xdr:nvSpPr>
        <xdr:cNvPr id="19" name="Rectangle: Rounded Corners 18">
          <a:extLst>
            <a:ext uri="{FF2B5EF4-FFF2-40B4-BE49-F238E27FC236}">
              <a16:creationId xmlns:a16="http://schemas.microsoft.com/office/drawing/2014/main" id="{00000000-0008-0000-0000-000013000000}"/>
            </a:ext>
          </a:extLst>
        </xdr:cNvPr>
        <xdr:cNvSpPr/>
      </xdr:nvSpPr>
      <xdr:spPr>
        <a:xfrm>
          <a:off x="9171213" y="4941163"/>
          <a:ext cx="1080000" cy="942157"/>
        </a:xfrm>
        <a:prstGeom prst="roundRect">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585106</xdr:colOff>
      <xdr:row>20</xdr:row>
      <xdr:rowOff>27213</xdr:rowOff>
    </xdr:from>
    <xdr:to>
      <xdr:col>16</xdr:col>
      <xdr:colOff>304392</xdr:colOff>
      <xdr:row>25</xdr:row>
      <xdr:rowOff>16870</xdr:rowOff>
    </xdr:to>
    <xdr:sp macro="" textlink="">
      <xdr:nvSpPr>
        <xdr:cNvPr id="20" name="Rectangle: Rounded Corners 19">
          <a:extLst>
            <a:ext uri="{FF2B5EF4-FFF2-40B4-BE49-F238E27FC236}">
              <a16:creationId xmlns:a16="http://schemas.microsoft.com/office/drawing/2014/main" id="{00000000-0008-0000-0000-000014000000}"/>
            </a:ext>
          </a:extLst>
        </xdr:cNvPr>
        <xdr:cNvSpPr/>
      </xdr:nvSpPr>
      <xdr:spPr>
        <a:xfrm>
          <a:off x="9157606" y="3837213"/>
          <a:ext cx="1080000" cy="942157"/>
        </a:xfrm>
        <a:prstGeom prst="roundRect">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379637</xdr:colOff>
      <xdr:row>10</xdr:row>
      <xdr:rowOff>99333</xdr:rowOff>
    </xdr:from>
    <xdr:to>
      <xdr:col>16</xdr:col>
      <xdr:colOff>69397</xdr:colOff>
      <xdr:row>18</xdr:row>
      <xdr:rowOff>123333</xdr:rowOff>
    </xdr:to>
    <xdr:sp macro="" textlink="">
      <xdr:nvSpPr>
        <xdr:cNvPr id="21" name="Rectangle: Rounded Corners 20">
          <a:extLst>
            <a:ext uri="{FF2B5EF4-FFF2-40B4-BE49-F238E27FC236}">
              <a16:creationId xmlns:a16="http://schemas.microsoft.com/office/drawing/2014/main" id="{00000000-0008-0000-0000-000015000000}"/>
            </a:ext>
          </a:extLst>
        </xdr:cNvPr>
        <xdr:cNvSpPr/>
      </xdr:nvSpPr>
      <xdr:spPr>
        <a:xfrm>
          <a:off x="7694837" y="2004333"/>
          <a:ext cx="2271035" cy="1548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666750</xdr:colOff>
      <xdr:row>20</xdr:row>
      <xdr:rowOff>81644</xdr:rowOff>
    </xdr:from>
    <xdr:to>
      <xdr:col>16</xdr:col>
      <xdr:colOff>231322</xdr:colOff>
      <xdr:row>22</xdr:row>
      <xdr:rowOff>163286</xdr:rowOff>
    </xdr:to>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9239250" y="3891644"/>
          <a:ext cx="925286" cy="46264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100">
              <a:solidFill>
                <a:schemeClr val="bg1"/>
              </a:solidFill>
            </a:rPr>
            <a:t>Part Time Employees</a:t>
          </a:r>
        </a:p>
      </xdr:txBody>
    </xdr:sp>
    <xdr:clientData/>
  </xdr:twoCellAnchor>
  <xdr:twoCellAnchor>
    <xdr:from>
      <xdr:col>14</xdr:col>
      <xdr:colOff>734786</xdr:colOff>
      <xdr:row>25</xdr:row>
      <xdr:rowOff>176894</xdr:rowOff>
    </xdr:from>
    <xdr:to>
      <xdr:col>16</xdr:col>
      <xdr:colOff>285750</xdr:colOff>
      <xdr:row>28</xdr:row>
      <xdr:rowOff>68036</xdr:rowOff>
    </xdr:to>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9307286" y="4939394"/>
          <a:ext cx="911678" cy="462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Full Time Employees</a:t>
          </a:r>
        </a:p>
      </xdr:txBody>
    </xdr:sp>
    <xdr:clientData/>
  </xdr:twoCellAnchor>
  <xdr:twoCellAnchor>
    <xdr:from>
      <xdr:col>15</xdr:col>
      <xdr:colOff>272143</xdr:colOff>
      <xdr:row>21</xdr:row>
      <xdr:rowOff>176893</xdr:rowOff>
    </xdr:from>
    <xdr:to>
      <xdr:col>16</xdr:col>
      <xdr:colOff>340179</xdr:colOff>
      <xdr:row>24</xdr:row>
      <xdr:rowOff>122464</xdr:rowOff>
    </xdr:to>
    <xdr:sp macro="" textlink="'Pivot Table'!C13">
      <xdr:nvSpPr>
        <xdr:cNvPr id="26" name="TextBox 25">
          <a:extLst>
            <a:ext uri="{FF2B5EF4-FFF2-40B4-BE49-F238E27FC236}">
              <a16:creationId xmlns:a16="http://schemas.microsoft.com/office/drawing/2014/main" id="{00000000-0008-0000-0000-00001A000000}"/>
            </a:ext>
          </a:extLst>
        </xdr:cNvPr>
        <xdr:cNvSpPr txBox="1"/>
      </xdr:nvSpPr>
      <xdr:spPr>
        <a:xfrm>
          <a:off x="9559018" y="4177393"/>
          <a:ext cx="677636" cy="517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C9ECBF-9CBE-48C6-9E9F-42C1EFA2A2DB}" type="TxLink">
            <a:rPr lang="en-US" sz="3200" b="0" i="0" u="none" strike="noStrike">
              <a:solidFill>
                <a:schemeClr val="bg1"/>
              </a:solidFill>
              <a:latin typeface="Aptos Narrow"/>
            </a:rPr>
            <a:pPr/>
            <a:t>13</a:t>
          </a:fld>
          <a:endParaRPr lang="en-IN" sz="3200">
            <a:solidFill>
              <a:schemeClr val="bg1"/>
            </a:solidFill>
          </a:endParaRPr>
        </a:p>
      </xdr:txBody>
    </xdr:sp>
    <xdr:clientData/>
  </xdr:twoCellAnchor>
  <xdr:twoCellAnchor>
    <xdr:from>
      <xdr:col>15</xdr:col>
      <xdr:colOff>353785</xdr:colOff>
      <xdr:row>27</xdr:row>
      <xdr:rowOff>108857</xdr:rowOff>
    </xdr:from>
    <xdr:to>
      <xdr:col>16</xdr:col>
      <xdr:colOff>394607</xdr:colOff>
      <xdr:row>30</xdr:row>
      <xdr:rowOff>122464</xdr:rowOff>
    </xdr:to>
    <xdr:sp macro="" textlink="'Pivot Table'!C12">
      <xdr:nvSpPr>
        <xdr:cNvPr id="27" name="TextBox 26">
          <a:extLst>
            <a:ext uri="{FF2B5EF4-FFF2-40B4-BE49-F238E27FC236}">
              <a16:creationId xmlns:a16="http://schemas.microsoft.com/office/drawing/2014/main" id="{00000000-0008-0000-0000-00001B000000}"/>
            </a:ext>
          </a:extLst>
        </xdr:cNvPr>
        <xdr:cNvSpPr txBox="1"/>
      </xdr:nvSpPr>
      <xdr:spPr>
        <a:xfrm>
          <a:off x="9674678" y="5252357"/>
          <a:ext cx="653143" cy="585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6CF5AA-C014-434A-BC7D-E86DF7B5B462}" type="TxLink">
            <a:rPr lang="en-US" sz="3200" b="1" i="0" u="none" strike="noStrike">
              <a:solidFill>
                <a:schemeClr val="bg1"/>
              </a:solidFill>
              <a:latin typeface="Aptos Narrow"/>
            </a:rPr>
            <a:pPr/>
            <a:t>20</a:t>
          </a:fld>
          <a:endParaRPr lang="en-IN" sz="3200" b="1">
            <a:solidFill>
              <a:schemeClr val="bg1"/>
            </a:solidFill>
          </a:endParaRPr>
        </a:p>
      </xdr:txBody>
    </xdr:sp>
    <xdr:clientData/>
  </xdr:twoCellAnchor>
  <xdr:twoCellAnchor>
    <xdr:from>
      <xdr:col>12</xdr:col>
      <xdr:colOff>489856</xdr:colOff>
      <xdr:row>25</xdr:row>
      <xdr:rowOff>178662</xdr:rowOff>
    </xdr:from>
    <xdr:to>
      <xdr:col>14</xdr:col>
      <xdr:colOff>299357</xdr:colOff>
      <xdr:row>28</xdr:row>
      <xdr:rowOff>176893</xdr:rowOff>
    </xdr:to>
    <xdr:sp macro="" textlink="">
      <xdr:nvSpPr>
        <xdr:cNvPr id="29" name="TextBox 28">
          <a:extLst>
            <a:ext uri="{FF2B5EF4-FFF2-40B4-BE49-F238E27FC236}">
              <a16:creationId xmlns:a16="http://schemas.microsoft.com/office/drawing/2014/main" id="{00000000-0008-0000-0000-00001D000000}"/>
            </a:ext>
          </a:extLst>
        </xdr:cNvPr>
        <xdr:cNvSpPr txBox="1"/>
      </xdr:nvSpPr>
      <xdr:spPr>
        <a:xfrm>
          <a:off x="7837713" y="4941162"/>
          <a:ext cx="1034144" cy="56973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100">
              <a:solidFill>
                <a:schemeClr val="bg1"/>
              </a:solidFill>
            </a:rPr>
            <a:t>Employees</a:t>
          </a:r>
          <a:r>
            <a:rPr lang="en-IN" sz="1100" baseline="0">
              <a:solidFill>
                <a:schemeClr val="bg1"/>
              </a:solidFill>
            </a:rPr>
            <a:t> with contracts</a:t>
          </a:r>
          <a:endParaRPr lang="en-IN" sz="1100">
            <a:solidFill>
              <a:schemeClr val="bg1"/>
            </a:solidFill>
          </a:endParaRPr>
        </a:p>
      </xdr:txBody>
    </xdr:sp>
    <xdr:clientData/>
  </xdr:twoCellAnchor>
  <xdr:twoCellAnchor>
    <xdr:from>
      <xdr:col>13</xdr:col>
      <xdr:colOff>353784</xdr:colOff>
      <xdr:row>27</xdr:row>
      <xdr:rowOff>136070</xdr:rowOff>
    </xdr:from>
    <xdr:to>
      <xdr:col>14</xdr:col>
      <xdr:colOff>476248</xdr:colOff>
      <xdr:row>30</xdr:row>
      <xdr:rowOff>27213</xdr:rowOff>
    </xdr:to>
    <xdr:sp macro="" textlink="'Pivot Table'!C11">
      <xdr:nvSpPr>
        <xdr:cNvPr id="31" name="TextBox 30">
          <a:extLst>
            <a:ext uri="{FF2B5EF4-FFF2-40B4-BE49-F238E27FC236}">
              <a16:creationId xmlns:a16="http://schemas.microsoft.com/office/drawing/2014/main" id="{00000000-0008-0000-0000-00001F000000}"/>
            </a:ext>
          </a:extLst>
        </xdr:cNvPr>
        <xdr:cNvSpPr txBox="1"/>
      </xdr:nvSpPr>
      <xdr:spPr>
        <a:xfrm>
          <a:off x="8313963" y="5279570"/>
          <a:ext cx="734785" cy="462643"/>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F7277718-5A3E-4827-BC79-82BC75BC0949}" type="TxLink">
            <a:rPr lang="en-US" sz="3200" b="0" i="0" u="none" strike="noStrike">
              <a:solidFill>
                <a:schemeClr val="bg1"/>
              </a:solidFill>
              <a:latin typeface="Aptos Narrow"/>
            </a:rPr>
            <a:pPr/>
            <a:t>17</a:t>
          </a:fld>
          <a:endParaRPr lang="en-IN" sz="3200">
            <a:solidFill>
              <a:schemeClr val="bg1"/>
            </a:solidFill>
          </a:endParaRPr>
        </a:p>
      </xdr:txBody>
    </xdr:sp>
    <xdr:clientData/>
  </xdr:twoCellAnchor>
  <xdr:twoCellAnchor>
    <xdr:from>
      <xdr:col>8</xdr:col>
      <xdr:colOff>394608</xdr:colOff>
      <xdr:row>21</xdr:row>
      <xdr:rowOff>13608</xdr:rowOff>
    </xdr:from>
    <xdr:to>
      <xdr:col>10</xdr:col>
      <xdr:colOff>340179</xdr:colOff>
      <xdr:row>30</xdr:row>
      <xdr:rowOff>13608</xdr:rowOff>
    </xdr:to>
    <xdr:sp macro="" textlink="">
      <xdr:nvSpPr>
        <xdr:cNvPr id="1028" name="Text Box 4">
          <a:extLst>
            <a:ext uri="{FF2B5EF4-FFF2-40B4-BE49-F238E27FC236}">
              <a16:creationId xmlns:a16="http://schemas.microsoft.com/office/drawing/2014/main" id="{00000000-0008-0000-0000-000004040000}"/>
            </a:ext>
          </a:extLst>
        </xdr:cNvPr>
        <xdr:cNvSpPr txBox="1">
          <a:spLocks noChangeArrowheads="1"/>
        </xdr:cNvSpPr>
      </xdr:nvSpPr>
      <xdr:spPr bwMode="auto">
        <a:xfrm>
          <a:off x="5293179" y="4014108"/>
          <a:ext cx="1170214" cy="1714500"/>
        </a:xfrm>
        <a:prstGeom prst="rect">
          <a:avLst/>
        </a:prstGeom>
        <a:noFill/>
        <a:ln w="9525">
          <a:noFill/>
          <a:miter lim="800000"/>
          <a:headEnd/>
          <a:tailEnd/>
        </a:ln>
      </xdr:spPr>
      <xdr:txBody>
        <a:bodyPr vertOverflow="clip" wrap="square" lIns="27432" tIns="18288" rIns="0" bIns="0" anchor="t" upright="1"/>
        <a:lstStyle/>
        <a:p>
          <a:pPr algn="l" rtl="0">
            <a:defRPr sz="1000"/>
          </a:pPr>
          <a:r>
            <a:rPr lang="en-IN" sz="1100" b="0" i="0" u="none" strike="noStrike" baseline="0">
              <a:solidFill>
                <a:schemeClr val="bg1"/>
              </a:solidFill>
              <a:latin typeface="Aptos Narrow"/>
            </a:rPr>
            <a:t>Total Salarices</a:t>
          </a:r>
        </a:p>
      </xdr:txBody>
    </xdr:sp>
    <xdr:clientData/>
  </xdr:twoCellAnchor>
  <xdr:twoCellAnchor>
    <xdr:from>
      <xdr:col>8</xdr:col>
      <xdr:colOff>530678</xdr:colOff>
      <xdr:row>18</xdr:row>
      <xdr:rowOff>27215</xdr:rowOff>
    </xdr:from>
    <xdr:to>
      <xdr:col>11</xdr:col>
      <xdr:colOff>585107</xdr:colOff>
      <xdr:row>20</xdr:row>
      <xdr:rowOff>149679</xdr:rowOff>
    </xdr:to>
    <xdr:sp macro="" textlink="">
      <xdr:nvSpPr>
        <xdr:cNvPr id="33" name="Text Box 4">
          <a:extLst>
            <a:ext uri="{FF2B5EF4-FFF2-40B4-BE49-F238E27FC236}">
              <a16:creationId xmlns:a16="http://schemas.microsoft.com/office/drawing/2014/main" id="{00000000-0008-0000-0000-000021000000}"/>
            </a:ext>
          </a:extLst>
        </xdr:cNvPr>
        <xdr:cNvSpPr txBox="1">
          <a:spLocks noChangeArrowheads="1"/>
        </xdr:cNvSpPr>
      </xdr:nvSpPr>
      <xdr:spPr bwMode="auto">
        <a:xfrm>
          <a:off x="5371619" y="3456215"/>
          <a:ext cx="1869782" cy="503464"/>
        </a:xfrm>
        <a:prstGeom prst="rect">
          <a:avLst/>
        </a:prstGeom>
        <a:noFill/>
        <a:ln w="9525">
          <a:noFill/>
          <a:miter lim="800000"/>
          <a:headEnd/>
          <a:tailEnd/>
        </a:ln>
      </xdr:spPr>
      <xdr:txBody>
        <a:bodyPr vertOverflow="clip" wrap="square" lIns="27432" tIns="18288" rIns="0" bIns="0" anchor="t" upright="1"/>
        <a:lstStyle/>
        <a:p>
          <a:pPr algn="l" rtl="0">
            <a:defRPr sz="1000"/>
          </a:pPr>
          <a:r>
            <a:rPr lang="en-IN" sz="1100" b="0" i="0" u="none" strike="noStrike" baseline="0">
              <a:solidFill>
                <a:srgbClr val="FFFF00"/>
              </a:solidFill>
              <a:latin typeface="Aptos Narrow"/>
            </a:rPr>
            <a:t>Salaries</a:t>
          </a:r>
        </a:p>
        <a:p>
          <a:pPr algn="l" rtl="0">
            <a:defRPr sz="1000"/>
          </a:pPr>
          <a:r>
            <a:rPr lang="en-IN" sz="800" b="0" i="0" u="none" strike="noStrike" baseline="0">
              <a:solidFill>
                <a:schemeClr val="bg2">
                  <a:lumMod val="90000"/>
                </a:schemeClr>
              </a:solidFill>
              <a:latin typeface="Aptos Narrow"/>
            </a:rPr>
            <a:t>Salary amount by job titles</a:t>
          </a:r>
        </a:p>
      </xdr:txBody>
    </xdr:sp>
    <xdr:clientData/>
  </xdr:twoCellAnchor>
  <xdr:twoCellAnchor>
    <xdr:from>
      <xdr:col>8</xdr:col>
      <xdr:colOff>408217</xdr:colOff>
      <xdr:row>22</xdr:row>
      <xdr:rowOff>122464</xdr:rowOff>
    </xdr:from>
    <xdr:to>
      <xdr:col>10</xdr:col>
      <xdr:colOff>209551</xdr:colOff>
      <xdr:row>31</xdr:row>
      <xdr:rowOff>0</xdr:rowOff>
    </xdr:to>
    <xdr:sp macro="" textlink="">
      <xdr:nvSpPr>
        <xdr:cNvPr id="35" name="Text Box 4">
          <a:extLst>
            <a:ext uri="{FF2B5EF4-FFF2-40B4-BE49-F238E27FC236}">
              <a16:creationId xmlns:a16="http://schemas.microsoft.com/office/drawing/2014/main" id="{00000000-0008-0000-0000-000023000000}"/>
            </a:ext>
          </a:extLst>
        </xdr:cNvPr>
        <xdr:cNvSpPr txBox="1">
          <a:spLocks noChangeArrowheads="1"/>
        </xdr:cNvSpPr>
      </xdr:nvSpPr>
      <xdr:spPr bwMode="auto">
        <a:xfrm>
          <a:off x="5285017" y="4313464"/>
          <a:ext cx="1020534" cy="1592036"/>
        </a:xfrm>
        <a:prstGeom prst="rect">
          <a:avLst/>
        </a:prstGeom>
        <a:noFill/>
        <a:ln w="9525">
          <a:noFill/>
          <a:miter lim="800000"/>
          <a:headEnd/>
          <a:tailEnd/>
        </a:ln>
      </xdr:spPr>
      <xdr:txBody>
        <a:bodyPr vertOverflow="clip" wrap="square" lIns="27432" tIns="18288" rIns="0" bIns="0" anchor="t" upright="1"/>
        <a:lstStyle/>
        <a:p>
          <a:pPr algn="l" rtl="0">
            <a:defRPr sz="1000"/>
          </a:pPr>
          <a:r>
            <a:rPr lang="en-IN" sz="1100" b="0" i="0" u="none" strike="noStrike" baseline="0">
              <a:solidFill>
                <a:schemeClr val="bg1"/>
              </a:solidFill>
              <a:latin typeface="Aptos Narrow"/>
            </a:rPr>
            <a:t>Managers</a:t>
          </a:r>
        </a:p>
        <a:p>
          <a:pPr algn="l" rtl="0">
            <a:defRPr sz="1000"/>
          </a:pPr>
          <a:endParaRPr lang="en-IN" sz="1100" b="0" i="0" u="none" strike="noStrike" baseline="0">
            <a:solidFill>
              <a:schemeClr val="bg1"/>
            </a:solidFill>
            <a:latin typeface="Aptos Narrow"/>
          </a:endParaRPr>
        </a:p>
        <a:p>
          <a:pPr algn="l" rtl="0">
            <a:defRPr sz="1000"/>
          </a:pPr>
          <a:r>
            <a:rPr lang="en-IN" sz="1100" b="0" i="0" u="none" strike="noStrike" baseline="0">
              <a:solidFill>
                <a:schemeClr val="bg1"/>
              </a:solidFill>
              <a:latin typeface="Aptos Narrow"/>
            </a:rPr>
            <a:t>HR Specialists</a:t>
          </a:r>
        </a:p>
        <a:p>
          <a:pPr algn="l" rtl="0">
            <a:defRPr sz="1000"/>
          </a:pPr>
          <a:endParaRPr lang="en-IN" sz="1100" b="0" i="0" u="none" strike="noStrike" baseline="0">
            <a:solidFill>
              <a:schemeClr val="bg1"/>
            </a:solidFill>
            <a:latin typeface="Aptos Narrow"/>
          </a:endParaRPr>
        </a:p>
      </xdr:txBody>
    </xdr:sp>
    <xdr:clientData/>
  </xdr:twoCellAnchor>
  <xdr:twoCellAnchor>
    <xdr:from>
      <xdr:col>8</xdr:col>
      <xdr:colOff>408216</xdr:colOff>
      <xdr:row>25</xdr:row>
      <xdr:rowOff>95249</xdr:rowOff>
    </xdr:from>
    <xdr:to>
      <xdr:col>10</xdr:col>
      <xdr:colOff>367393</xdr:colOff>
      <xdr:row>31</xdr:row>
      <xdr:rowOff>54428</xdr:rowOff>
    </xdr:to>
    <xdr:sp macro="" textlink="">
      <xdr:nvSpPr>
        <xdr:cNvPr id="37" name="Text Box 4">
          <a:extLst>
            <a:ext uri="{FF2B5EF4-FFF2-40B4-BE49-F238E27FC236}">
              <a16:creationId xmlns:a16="http://schemas.microsoft.com/office/drawing/2014/main" id="{00000000-0008-0000-0000-000025000000}"/>
            </a:ext>
          </a:extLst>
        </xdr:cNvPr>
        <xdr:cNvSpPr txBox="1">
          <a:spLocks noChangeArrowheads="1"/>
        </xdr:cNvSpPr>
      </xdr:nvSpPr>
      <xdr:spPr bwMode="auto">
        <a:xfrm>
          <a:off x="5285016" y="4857749"/>
          <a:ext cx="1178377" cy="1102179"/>
        </a:xfrm>
        <a:prstGeom prst="rect">
          <a:avLst/>
        </a:prstGeom>
        <a:noFill/>
        <a:ln w="9525">
          <a:noFill/>
          <a:miter lim="800000"/>
          <a:headEnd/>
          <a:tailEnd/>
        </a:ln>
      </xdr:spPr>
      <xdr:txBody>
        <a:bodyPr vertOverflow="clip" wrap="square" lIns="27432" tIns="18288" rIns="0" bIns="0" anchor="t" upright="1"/>
        <a:lstStyle/>
        <a:p>
          <a:pPr algn="l" rtl="0">
            <a:defRPr sz="1000"/>
          </a:pPr>
          <a:endParaRPr lang="en-IN" sz="1100" b="0" i="0" u="none" strike="noStrike" baseline="0">
            <a:solidFill>
              <a:schemeClr val="bg1"/>
            </a:solidFill>
            <a:latin typeface="Aptos Narrow"/>
          </a:endParaRPr>
        </a:p>
        <a:p>
          <a:pPr algn="l" rtl="0">
            <a:defRPr sz="1000"/>
          </a:pPr>
          <a:r>
            <a:rPr lang="en-IN" sz="1100" b="0" i="0" u="none" strike="noStrike" baseline="0">
              <a:solidFill>
                <a:schemeClr val="bg1"/>
              </a:solidFill>
              <a:latin typeface="Aptos Narrow"/>
            </a:rPr>
            <a:t>Developers</a:t>
          </a:r>
        </a:p>
        <a:p>
          <a:pPr algn="l" rtl="0">
            <a:defRPr sz="1000"/>
          </a:pPr>
          <a:endParaRPr lang="en-IN" sz="1100" b="0" i="0" u="none" strike="noStrike" baseline="0">
            <a:solidFill>
              <a:schemeClr val="bg1"/>
            </a:solidFill>
            <a:latin typeface="Aptos Narrow"/>
          </a:endParaRPr>
        </a:p>
        <a:p>
          <a:pPr algn="l" rtl="0">
            <a:defRPr sz="1000"/>
          </a:pPr>
          <a:r>
            <a:rPr lang="en-IN" sz="1100" b="0" i="0" u="none" strike="noStrike" baseline="0">
              <a:solidFill>
                <a:schemeClr val="bg1"/>
              </a:solidFill>
              <a:latin typeface="Aptos Narrow"/>
            </a:rPr>
            <a:t>Designers</a:t>
          </a:r>
        </a:p>
        <a:p>
          <a:pPr algn="l" rtl="0">
            <a:defRPr sz="1000"/>
          </a:pPr>
          <a:endParaRPr lang="en-IN" sz="1100" b="0" i="0" u="none" strike="noStrike" baseline="0">
            <a:solidFill>
              <a:schemeClr val="bg1"/>
            </a:solidFill>
            <a:latin typeface="Aptos Narrow"/>
          </a:endParaRPr>
        </a:p>
        <a:p>
          <a:pPr algn="l" rtl="0">
            <a:defRPr sz="1000"/>
          </a:pPr>
          <a:r>
            <a:rPr lang="en-IN" sz="1100" b="0" i="0" u="none" strike="noStrike" baseline="0">
              <a:solidFill>
                <a:schemeClr val="bg1"/>
              </a:solidFill>
              <a:latin typeface="Aptos Narrow"/>
            </a:rPr>
            <a:t>Analysts</a:t>
          </a:r>
        </a:p>
      </xdr:txBody>
    </xdr:sp>
    <xdr:clientData/>
  </xdr:twoCellAnchor>
  <xdr:twoCellAnchor>
    <xdr:from>
      <xdr:col>10</xdr:col>
      <xdr:colOff>353786</xdr:colOff>
      <xdr:row>26</xdr:row>
      <xdr:rowOff>13606</xdr:rowOff>
    </xdr:from>
    <xdr:to>
      <xdr:col>12</xdr:col>
      <xdr:colOff>136072</xdr:colOff>
      <xdr:row>27</xdr:row>
      <xdr:rowOff>68035</xdr:rowOff>
    </xdr:to>
    <xdr:sp macro="" textlink="'Pivot Table'!G15">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6477000" y="4966606"/>
          <a:ext cx="1006929" cy="244929"/>
        </a:xfrm>
        <a:prstGeom prst="rect">
          <a:avLst/>
        </a:prstGeom>
        <a:noFill/>
        <a:ln w="9525">
          <a:noFill/>
          <a:miter lim="800000"/>
          <a:headEnd/>
          <a:tailEnd/>
        </a:ln>
      </xdr:spPr>
      <xdr:txBody>
        <a:bodyPr vertOverflow="clip" wrap="square" lIns="27432" tIns="18288" rIns="0" bIns="0" anchor="t" upright="1"/>
        <a:lstStyle/>
        <a:p>
          <a:pPr algn="l" rtl="0">
            <a:defRPr sz="1000"/>
          </a:pPr>
          <a:fld id="{4FD6CFED-67D9-4102-953B-7B0A553140D6}" type="TxLink">
            <a:rPr lang="en-US" sz="1600" b="1" i="0" u="none" strike="noStrike" baseline="0">
              <a:solidFill>
                <a:schemeClr val="bg1"/>
              </a:solidFill>
              <a:latin typeface="Aptos Narrow"/>
            </a:rPr>
            <a:pPr algn="l" rtl="0">
              <a:defRPr sz="1000"/>
            </a:pPr>
            <a:t> 6,33,594 </a:t>
          </a:fld>
          <a:endParaRPr lang="en-IN" sz="1600" b="1" i="0" u="none" strike="noStrike" baseline="0">
            <a:solidFill>
              <a:schemeClr val="bg1"/>
            </a:solidFill>
            <a:latin typeface="Aptos Narrow"/>
          </a:endParaRPr>
        </a:p>
      </xdr:txBody>
    </xdr:sp>
    <xdr:clientData/>
  </xdr:twoCellAnchor>
  <xdr:twoCellAnchor>
    <xdr:from>
      <xdr:col>10</xdr:col>
      <xdr:colOff>367394</xdr:colOff>
      <xdr:row>27</xdr:row>
      <xdr:rowOff>149679</xdr:rowOff>
    </xdr:from>
    <xdr:to>
      <xdr:col>12</xdr:col>
      <xdr:colOff>149680</xdr:colOff>
      <xdr:row>28</xdr:row>
      <xdr:rowOff>176892</xdr:rowOff>
    </xdr:to>
    <xdr:sp macro="" textlink="'Pivot Table'!G14">
      <xdr:nvSpPr>
        <xdr:cNvPr id="47" name="Text Box 4">
          <a:extLst>
            <a:ext uri="{FF2B5EF4-FFF2-40B4-BE49-F238E27FC236}">
              <a16:creationId xmlns:a16="http://schemas.microsoft.com/office/drawing/2014/main" id="{00000000-0008-0000-0000-00002F000000}"/>
            </a:ext>
          </a:extLst>
        </xdr:cNvPr>
        <xdr:cNvSpPr txBox="1">
          <a:spLocks noChangeArrowheads="1"/>
        </xdr:cNvSpPr>
      </xdr:nvSpPr>
      <xdr:spPr bwMode="auto">
        <a:xfrm>
          <a:off x="6490608" y="5293179"/>
          <a:ext cx="1006929" cy="217713"/>
        </a:xfrm>
        <a:prstGeom prst="rect">
          <a:avLst/>
        </a:prstGeom>
        <a:noFill/>
        <a:ln w="9525">
          <a:noFill/>
          <a:miter lim="800000"/>
          <a:headEnd/>
          <a:tailEnd/>
        </a:ln>
      </xdr:spPr>
      <xdr:txBody>
        <a:bodyPr vertOverflow="clip" wrap="square" lIns="27432" tIns="18288" rIns="0" bIns="0" anchor="t" upright="1"/>
        <a:lstStyle/>
        <a:p>
          <a:pPr algn="l" rtl="0">
            <a:defRPr sz="1000"/>
          </a:pPr>
          <a:fld id="{66C5F207-7CEE-4EA4-B6B2-5F950EF6CBFB}" type="TxLink">
            <a:rPr lang="en-US" sz="1600" b="1" i="0" u="none" strike="noStrike" baseline="0">
              <a:solidFill>
                <a:schemeClr val="bg1"/>
              </a:solidFill>
              <a:latin typeface="Aptos Narrow"/>
            </a:rPr>
            <a:pPr algn="l" rtl="0">
              <a:defRPr sz="1000"/>
            </a:pPr>
            <a:t> 6,13,842 </a:t>
          </a:fld>
          <a:endParaRPr lang="en-IN" sz="1600" b="1" i="0" u="none" strike="noStrike" baseline="0">
            <a:solidFill>
              <a:schemeClr val="bg1"/>
            </a:solidFill>
            <a:latin typeface="Aptos Narrow"/>
          </a:endParaRPr>
        </a:p>
      </xdr:txBody>
    </xdr:sp>
    <xdr:clientData/>
  </xdr:twoCellAnchor>
  <xdr:twoCellAnchor>
    <xdr:from>
      <xdr:col>10</xdr:col>
      <xdr:colOff>367392</xdr:colOff>
      <xdr:row>29</xdr:row>
      <xdr:rowOff>68036</xdr:rowOff>
    </xdr:from>
    <xdr:to>
      <xdr:col>12</xdr:col>
      <xdr:colOff>149678</xdr:colOff>
      <xdr:row>30</xdr:row>
      <xdr:rowOff>122464</xdr:rowOff>
    </xdr:to>
    <xdr:sp macro="" textlink="'Pivot Table'!G13">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6490606" y="5592536"/>
          <a:ext cx="1006929" cy="244928"/>
        </a:xfrm>
        <a:prstGeom prst="rect">
          <a:avLst/>
        </a:prstGeom>
        <a:noFill/>
        <a:ln w="9525">
          <a:noFill/>
          <a:miter lim="800000"/>
          <a:headEnd/>
          <a:tailEnd/>
        </a:ln>
      </xdr:spPr>
      <xdr:txBody>
        <a:bodyPr vertOverflow="clip" wrap="square" lIns="27432" tIns="18288" rIns="0" bIns="0" anchor="t" upright="1"/>
        <a:lstStyle/>
        <a:p>
          <a:pPr algn="l" rtl="0">
            <a:defRPr sz="1000"/>
          </a:pPr>
          <a:fld id="{43AFE7E1-384F-4B0E-B0FF-CE8A60D60576}" type="TxLink">
            <a:rPr lang="en-US" sz="1600" b="1" i="0" u="none" strike="noStrike" baseline="0">
              <a:solidFill>
                <a:schemeClr val="bg1"/>
              </a:solidFill>
              <a:latin typeface="Aptos Narrow"/>
            </a:rPr>
            <a:pPr algn="l" rtl="0">
              <a:defRPr sz="1000"/>
            </a:pPr>
            <a:t> 1,67,041 </a:t>
          </a:fld>
          <a:endParaRPr lang="en-IN" sz="1600" b="1" i="0" u="none" strike="noStrike" baseline="0">
            <a:solidFill>
              <a:schemeClr val="bg1"/>
            </a:solidFill>
            <a:latin typeface="Aptos Narrow"/>
          </a:endParaRPr>
        </a:p>
      </xdr:txBody>
    </xdr:sp>
    <xdr:clientData/>
  </xdr:twoCellAnchor>
  <xdr:twoCellAnchor>
    <xdr:from>
      <xdr:col>10</xdr:col>
      <xdr:colOff>353785</xdr:colOff>
      <xdr:row>20</xdr:row>
      <xdr:rowOff>122463</xdr:rowOff>
    </xdr:from>
    <xdr:to>
      <xdr:col>12</xdr:col>
      <xdr:colOff>136071</xdr:colOff>
      <xdr:row>22</xdr:row>
      <xdr:rowOff>13606</xdr:rowOff>
    </xdr:to>
    <xdr:sp macro="" textlink="'Pivot Table'!G18">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6476999" y="3932463"/>
          <a:ext cx="1006929" cy="272143"/>
        </a:xfrm>
        <a:prstGeom prst="rect">
          <a:avLst/>
        </a:prstGeom>
        <a:solidFill>
          <a:schemeClr val="accent4">
            <a:lumMod val="75000"/>
          </a:schemeClr>
        </a:solidFill>
        <a:ln w="9525">
          <a:noFill/>
          <a:miter lim="800000"/>
          <a:headEnd/>
          <a:tailEnd/>
        </a:ln>
      </xdr:spPr>
      <xdr:txBody>
        <a:bodyPr vertOverflow="clip" wrap="square" lIns="27432" tIns="18288" rIns="0" bIns="0" anchor="t" upright="1"/>
        <a:lstStyle/>
        <a:p>
          <a:pPr algn="l" rtl="0">
            <a:defRPr sz="1000"/>
          </a:pPr>
          <a:fld id="{E92429B9-E52E-454D-AE99-4B5CAB8E2CFD}" type="TxLink">
            <a:rPr lang="en-US" sz="1600" b="1" i="0" u="none" strike="noStrike" baseline="0">
              <a:solidFill>
                <a:schemeClr val="bg1"/>
              </a:solidFill>
              <a:latin typeface="Aptos Narrow"/>
            </a:rPr>
            <a:pPr algn="l" rtl="0">
              <a:defRPr sz="1000"/>
            </a:pPr>
            <a:t> 31,04,913 </a:t>
          </a:fld>
          <a:endParaRPr lang="en-IN" sz="1600" b="1" i="0" u="none" strike="noStrike" baseline="0">
            <a:solidFill>
              <a:schemeClr val="bg1"/>
            </a:solidFill>
            <a:latin typeface="Aptos Narrow"/>
          </a:endParaRPr>
        </a:p>
      </xdr:txBody>
    </xdr:sp>
    <xdr:clientData/>
  </xdr:twoCellAnchor>
  <xdr:twoCellAnchor>
    <xdr:from>
      <xdr:col>10</xdr:col>
      <xdr:colOff>353785</xdr:colOff>
      <xdr:row>22</xdr:row>
      <xdr:rowOff>81643</xdr:rowOff>
    </xdr:from>
    <xdr:to>
      <xdr:col>12</xdr:col>
      <xdr:colOff>136071</xdr:colOff>
      <xdr:row>23</xdr:row>
      <xdr:rowOff>136071</xdr:rowOff>
    </xdr:to>
    <xdr:sp macro="" textlink="'Pivot Table'!G17">
      <xdr:nvSpPr>
        <xdr:cNvPr id="51" name="Text Box 4">
          <a:extLst>
            <a:ext uri="{FF2B5EF4-FFF2-40B4-BE49-F238E27FC236}">
              <a16:creationId xmlns:a16="http://schemas.microsoft.com/office/drawing/2014/main" id="{00000000-0008-0000-0000-000033000000}"/>
            </a:ext>
          </a:extLst>
        </xdr:cNvPr>
        <xdr:cNvSpPr txBox="1">
          <a:spLocks noChangeArrowheads="1"/>
        </xdr:cNvSpPr>
      </xdr:nvSpPr>
      <xdr:spPr bwMode="auto">
        <a:xfrm>
          <a:off x="6476999" y="4272643"/>
          <a:ext cx="1006929" cy="244928"/>
        </a:xfrm>
        <a:prstGeom prst="rect">
          <a:avLst/>
        </a:prstGeom>
        <a:noFill/>
        <a:ln w="9525">
          <a:noFill/>
          <a:miter lim="800000"/>
          <a:headEnd/>
          <a:tailEnd/>
        </a:ln>
      </xdr:spPr>
      <xdr:txBody>
        <a:bodyPr vertOverflow="clip" wrap="square" lIns="27432" tIns="18288" rIns="0" bIns="0" anchor="t" upright="1"/>
        <a:lstStyle/>
        <a:p>
          <a:pPr algn="l" rtl="0">
            <a:defRPr sz="1000"/>
          </a:pPr>
          <a:fld id="{6E701D13-CFFA-4D9A-9B5C-3A68CB8C873C}" type="TxLink">
            <a:rPr lang="en-US" sz="1600" b="1" i="0" u="none" strike="noStrike" baseline="0">
              <a:solidFill>
                <a:schemeClr val="bg1"/>
              </a:solidFill>
              <a:latin typeface="Aptos Narrow"/>
            </a:rPr>
            <a:pPr algn="l" rtl="0">
              <a:defRPr sz="1000"/>
            </a:pPr>
            <a:t> 7,31,170 </a:t>
          </a:fld>
          <a:endParaRPr lang="en-IN" sz="1600" b="1" i="0" u="none" strike="noStrike" baseline="0">
            <a:solidFill>
              <a:schemeClr val="bg1"/>
            </a:solidFill>
            <a:latin typeface="Aptos Narrow"/>
          </a:endParaRPr>
        </a:p>
      </xdr:txBody>
    </xdr:sp>
    <xdr:clientData/>
  </xdr:twoCellAnchor>
  <xdr:twoCellAnchor>
    <xdr:from>
      <xdr:col>10</xdr:col>
      <xdr:colOff>353786</xdr:colOff>
      <xdr:row>24</xdr:row>
      <xdr:rowOff>27214</xdr:rowOff>
    </xdr:from>
    <xdr:to>
      <xdr:col>12</xdr:col>
      <xdr:colOff>136072</xdr:colOff>
      <xdr:row>25</xdr:row>
      <xdr:rowOff>95249</xdr:rowOff>
    </xdr:to>
    <xdr:sp macro="" textlink="'Pivot Table'!G16">
      <xdr:nvSpPr>
        <xdr:cNvPr id="52" name="Text Box 4">
          <a:extLst>
            <a:ext uri="{FF2B5EF4-FFF2-40B4-BE49-F238E27FC236}">
              <a16:creationId xmlns:a16="http://schemas.microsoft.com/office/drawing/2014/main" id="{00000000-0008-0000-0000-000034000000}"/>
            </a:ext>
          </a:extLst>
        </xdr:cNvPr>
        <xdr:cNvSpPr txBox="1">
          <a:spLocks noChangeArrowheads="1"/>
        </xdr:cNvSpPr>
      </xdr:nvSpPr>
      <xdr:spPr bwMode="auto">
        <a:xfrm>
          <a:off x="6477000" y="4599214"/>
          <a:ext cx="1006929" cy="258535"/>
        </a:xfrm>
        <a:prstGeom prst="rect">
          <a:avLst/>
        </a:prstGeom>
        <a:noFill/>
        <a:ln w="9525">
          <a:noFill/>
          <a:miter lim="800000"/>
          <a:headEnd/>
          <a:tailEnd/>
        </a:ln>
      </xdr:spPr>
      <xdr:txBody>
        <a:bodyPr vertOverflow="clip" wrap="square" lIns="27432" tIns="18288" rIns="0" bIns="0" anchor="t" upright="1"/>
        <a:lstStyle/>
        <a:p>
          <a:pPr algn="l" rtl="0">
            <a:defRPr sz="1000"/>
          </a:pPr>
          <a:fld id="{BA42E360-F734-48ED-AEB0-B8AF7AB2D07F}" type="TxLink">
            <a:rPr lang="en-US" sz="1600" b="1" i="0" u="none" strike="noStrike" baseline="0">
              <a:solidFill>
                <a:schemeClr val="bg1"/>
              </a:solidFill>
              <a:latin typeface="Aptos Narrow"/>
            </a:rPr>
            <a:pPr algn="l" rtl="0">
              <a:defRPr sz="1000"/>
            </a:pPr>
            <a:t> 9,59,266 </a:t>
          </a:fld>
          <a:endParaRPr lang="en-IN" sz="1600" b="1" i="0" u="none" strike="noStrike" baseline="0">
            <a:solidFill>
              <a:schemeClr val="bg1"/>
            </a:solidFill>
            <a:latin typeface="Aptos Narrow"/>
          </a:endParaRPr>
        </a:p>
      </xdr:txBody>
    </xdr:sp>
    <xdr:clientData/>
  </xdr:twoCellAnchor>
  <xdr:twoCellAnchor>
    <xdr:from>
      <xdr:col>10</xdr:col>
      <xdr:colOff>340178</xdr:colOff>
      <xdr:row>20</xdr:row>
      <xdr:rowOff>136070</xdr:rowOff>
    </xdr:from>
    <xdr:to>
      <xdr:col>12</xdr:col>
      <xdr:colOff>122464</xdr:colOff>
      <xdr:row>22</xdr:row>
      <xdr:rowOff>27213</xdr:rowOff>
    </xdr:to>
    <xdr:sp macro="" textlink="'Pivot Table'!G18">
      <xdr:nvSpPr>
        <xdr:cNvPr id="1045" name="Text Box 4">
          <a:extLst>
            <a:ext uri="{FF2B5EF4-FFF2-40B4-BE49-F238E27FC236}">
              <a16:creationId xmlns:a16="http://schemas.microsoft.com/office/drawing/2014/main" id="{00000000-0008-0000-0000-000015040000}"/>
            </a:ext>
          </a:extLst>
        </xdr:cNvPr>
        <xdr:cNvSpPr txBox="1">
          <a:spLocks noChangeArrowheads="1"/>
        </xdr:cNvSpPr>
      </xdr:nvSpPr>
      <xdr:spPr bwMode="auto">
        <a:xfrm>
          <a:off x="6463392" y="3946070"/>
          <a:ext cx="1006929" cy="272143"/>
        </a:xfrm>
        <a:prstGeom prst="rect">
          <a:avLst/>
        </a:prstGeom>
        <a:solidFill>
          <a:srgbClr val="FFFF00"/>
        </a:solidFill>
        <a:ln w="9525">
          <a:noFill/>
          <a:miter lim="800000"/>
          <a:headEnd/>
          <a:tailEnd/>
        </a:ln>
      </xdr:spPr>
      <xdr:txBody>
        <a:bodyPr vertOverflow="clip" wrap="square" lIns="27432" tIns="18288" rIns="0" bIns="0" anchor="t" upright="1"/>
        <a:lstStyle/>
        <a:p>
          <a:pPr algn="l" rtl="0">
            <a:defRPr sz="1000"/>
          </a:pPr>
          <a:fld id="{E92429B9-E52E-454D-AE99-4B5CAB8E2CFD}" type="TxLink">
            <a:rPr lang="en-US" sz="1600" b="1" i="0" u="none" strike="noStrike" baseline="0">
              <a:solidFill>
                <a:schemeClr val="bg1"/>
              </a:solidFill>
              <a:latin typeface="Aptos Narrow"/>
            </a:rPr>
            <a:pPr algn="l" rtl="0">
              <a:defRPr sz="1000"/>
            </a:pPr>
            <a:t> 31,04,913 </a:t>
          </a:fld>
          <a:endParaRPr lang="en-IN" sz="1600" b="1" i="0" u="none" strike="noStrike" baseline="0">
            <a:solidFill>
              <a:schemeClr val="bg1"/>
            </a:solidFill>
            <a:latin typeface="Aptos Narrow"/>
          </a:endParaRPr>
        </a:p>
      </xdr:txBody>
    </xdr:sp>
    <xdr:clientData/>
  </xdr:twoCellAnchor>
  <xdr:twoCellAnchor>
    <xdr:from>
      <xdr:col>12</xdr:col>
      <xdr:colOff>537881</xdr:colOff>
      <xdr:row>18</xdr:row>
      <xdr:rowOff>172891</xdr:rowOff>
    </xdr:from>
    <xdr:to>
      <xdr:col>16</xdr:col>
      <xdr:colOff>369793</xdr:colOff>
      <xdr:row>20</xdr:row>
      <xdr:rowOff>112059</xdr:rowOff>
    </xdr:to>
    <xdr:sp macro="" textlink="">
      <xdr:nvSpPr>
        <xdr:cNvPr id="1052" name="Text Box 4">
          <a:extLst>
            <a:ext uri="{FF2B5EF4-FFF2-40B4-BE49-F238E27FC236}">
              <a16:creationId xmlns:a16="http://schemas.microsoft.com/office/drawing/2014/main" id="{00000000-0008-0000-0000-00001C040000}"/>
            </a:ext>
          </a:extLst>
        </xdr:cNvPr>
        <xdr:cNvSpPr txBox="1">
          <a:spLocks noChangeArrowheads="1"/>
        </xdr:cNvSpPr>
      </xdr:nvSpPr>
      <xdr:spPr bwMode="auto">
        <a:xfrm>
          <a:off x="7853081" y="3601891"/>
          <a:ext cx="2413187" cy="320168"/>
        </a:xfrm>
        <a:prstGeom prst="rect">
          <a:avLst/>
        </a:prstGeom>
        <a:noFill/>
        <a:ln w="9525">
          <a:noFill/>
          <a:miter lim="800000"/>
          <a:headEnd/>
          <a:tailEnd/>
        </a:ln>
      </xdr:spPr>
      <xdr:txBody>
        <a:bodyPr vertOverflow="clip" wrap="square" lIns="27432" tIns="18288" rIns="0" bIns="0" anchor="t" upright="1"/>
        <a:lstStyle/>
        <a:p>
          <a:pPr algn="l" rtl="0">
            <a:defRPr sz="1000"/>
          </a:pPr>
          <a:r>
            <a:rPr lang="en-IN" sz="1100" b="0" i="0" u="none" strike="noStrike" baseline="0">
              <a:solidFill>
                <a:srgbClr val="FFFF00"/>
              </a:solidFill>
              <a:latin typeface="Aptos Narrow"/>
            </a:rPr>
            <a:t>Employment Status Breakdown</a:t>
          </a:r>
        </a:p>
      </xdr:txBody>
    </xdr:sp>
    <xdr:clientData/>
  </xdr:twoCellAnchor>
  <xdr:twoCellAnchor>
    <xdr:from>
      <xdr:col>12</xdr:col>
      <xdr:colOff>329713</xdr:colOff>
      <xdr:row>19</xdr:row>
      <xdr:rowOff>175845</xdr:rowOff>
    </xdr:from>
    <xdr:to>
      <xdr:col>14</xdr:col>
      <xdr:colOff>571500</xdr:colOff>
      <xdr:row>25</xdr:row>
      <xdr:rowOff>153865</xdr:rowOff>
    </xdr:to>
    <xdr:graphicFrame macro="">
      <xdr:nvGraphicFramePr>
        <xdr:cNvPr id="1054" name="Chart 1053">
          <a:extLst>
            <a:ext uri="{FF2B5EF4-FFF2-40B4-BE49-F238E27FC236}">
              <a16:creationId xmlns:a16="http://schemas.microsoft.com/office/drawing/2014/main" id="{00000000-0008-0000-0000-00001E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43962</xdr:colOff>
      <xdr:row>20</xdr:row>
      <xdr:rowOff>102577</xdr:rowOff>
    </xdr:from>
    <xdr:to>
      <xdr:col>16</xdr:col>
      <xdr:colOff>205155</xdr:colOff>
      <xdr:row>21</xdr:row>
      <xdr:rowOff>65942</xdr:rowOff>
    </xdr:to>
    <xdr:sp macro="" textlink="">
      <xdr:nvSpPr>
        <xdr:cNvPr id="1055" name="Flowchart: Connector 1054">
          <a:extLst>
            <a:ext uri="{FF2B5EF4-FFF2-40B4-BE49-F238E27FC236}">
              <a16:creationId xmlns:a16="http://schemas.microsoft.com/office/drawing/2014/main" id="{00000000-0008-0000-0000-00001F040000}"/>
            </a:ext>
          </a:extLst>
        </xdr:cNvPr>
        <xdr:cNvSpPr/>
      </xdr:nvSpPr>
      <xdr:spPr>
        <a:xfrm flipV="1">
          <a:off x="9920654" y="3912577"/>
          <a:ext cx="161193" cy="153865"/>
        </a:xfrm>
        <a:prstGeom prst="flowChartConnector">
          <a:avLst/>
        </a:prstGeom>
        <a:solidFill>
          <a:schemeClr val="bg1">
            <a:lumMod val="85000"/>
          </a:schemeClr>
        </a:solidFill>
        <a:ln>
          <a:solidFill>
            <a:srgbClr val="401C3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95250</xdr:colOff>
      <xdr:row>26</xdr:row>
      <xdr:rowOff>87924</xdr:rowOff>
    </xdr:from>
    <xdr:to>
      <xdr:col>16</xdr:col>
      <xdr:colOff>256443</xdr:colOff>
      <xdr:row>27</xdr:row>
      <xdr:rowOff>51289</xdr:rowOff>
    </xdr:to>
    <xdr:sp macro="" textlink="">
      <xdr:nvSpPr>
        <xdr:cNvPr id="1058" name="Flowchart: Connector 1057">
          <a:extLst>
            <a:ext uri="{FF2B5EF4-FFF2-40B4-BE49-F238E27FC236}">
              <a16:creationId xmlns:a16="http://schemas.microsoft.com/office/drawing/2014/main" id="{00000000-0008-0000-0000-000022040000}"/>
            </a:ext>
          </a:extLst>
        </xdr:cNvPr>
        <xdr:cNvSpPr/>
      </xdr:nvSpPr>
      <xdr:spPr>
        <a:xfrm flipV="1">
          <a:off x="9971942" y="5040924"/>
          <a:ext cx="161193" cy="153865"/>
        </a:xfrm>
        <a:prstGeom prst="flowChartConnector">
          <a:avLst/>
        </a:prstGeom>
        <a:solidFill>
          <a:schemeClr val="tx1">
            <a:lumMod val="65000"/>
            <a:lumOff val="35000"/>
          </a:schemeClr>
        </a:solidFill>
        <a:ln>
          <a:solidFill>
            <a:srgbClr val="401C3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131884</xdr:colOff>
      <xdr:row>26</xdr:row>
      <xdr:rowOff>51289</xdr:rowOff>
    </xdr:from>
    <xdr:to>
      <xdr:col>14</xdr:col>
      <xdr:colOff>293077</xdr:colOff>
      <xdr:row>27</xdr:row>
      <xdr:rowOff>14654</xdr:rowOff>
    </xdr:to>
    <xdr:sp macro="" textlink="">
      <xdr:nvSpPr>
        <xdr:cNvPr id="1059" name="Flowchart: Connector 1058">
          <a:extLst>
            <a:ext uri="{FF2B5EF4-FFF2-40B4-BE49-F238E27FC236}">
              <a16:creationId xmlns:a16="http://schemas.microsoft.com/office/drawing/2014/main" id="{00000000-0008-0000-0000-000023040000}"/>
            </a:ext>
          </a:extLst>
        </xdr:cNvPr>
        <xdr:cNvSpPr/>
      </xdr:nvSpPr>
      <xdr:spPr>
        <a:xfrm flipV="1">
          <a:off x="8645769" y="5004289"/>
          <a:ext cx="161193" cy="153865"/>
        </a:xfrm>
        <a:prstGeom prst="flowChartConnector">
          <a:avLst/>
        </a:prstGeom>
        <a:solidFill>
          <a:srgbClr val="FFFF00"/>
        </a:solidFill>
        <a:ln>
          <a:solidFill>
            <a:srgbClr val="401C3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552450</xdr:colOff>
      <xdr:row>21</xdr:row>
      <xdr:rowOff>190499</xdr:rowOff>
    </xdr:from>
    <xdr:to>
      <xdr:col>7</xdr:col>
      <xdr:colOff>590550</xdr:colOff>
      <xdr:row>30</xdr:row>
      <xdr:rowOff>57150</xdr:rowOff>
    </xdr:to>
    <xdr:graphicFrame macro="">
      <xdr:nvGraphicFramePr>
        <xdr:cNvPr id="1061" name="Chart 1060">
          <a:extLst>
            <a:ext uri="{FF2B5EF4-FFF2-40B4-BE49-F238E27FC236}">
              <a16:creationId xmlns:a16="http://schemas.microsoft.com/office/drawing/2014/main" id="{00000000-0008-0000-0000-000025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194981</xdr:colOff>
      <xdr:row>19</xdr:row>
      <xdr:rowOff>19051</xdr:rowOff>
    </xdr:from>
    <xdr:to>
      <xdr:col>7</xdr:col>
      <xdr:colOff>485775</xdr:colOff>
      <xdr:row>21</xdr:row>
      <xdr:rowOff>76201</xdr:rowOff>
    </xdr:to>
    <xdr:sp macro="" textlink="">
      <xdr:nvSpPr>
        <xdr:cNvPr id="1063" name="Text Box 4">
          <a:extLst>
            <a:ext uri="{FF2B5EF4-FFF2-40B4-BE49-F238E27FC236}">
              <a16:creationId xmlns:a16="http://schemas.microsoft.com/office/drawing/2014/main" id="{00000000-0008-0000-0000-000027040000}"/>
            </a:ext>
          </a:extLst>
        </xdr:cNvPr>
        <xdr:cNvSpPr txBox="1">
          <a:spLocks noChangeArrowheads="1"/>
        </xdr:cNvSpPr>
      </xdr:nvSpPr>
      <xdr:spPr bwMode="auto">
        <a:xfrm>
          <a:off x="2633381" y="3638551"/>
          <a:ext cx="2119594" cy="438150"/>
        </a:xfrm>
        <a:prstGeom prst="rect">
          <a:avLst/>
        </a:prstGeom>
        <a:noFill/>
        <a:ln w="9525">
          <a:noFill/>
          <a:miter lim="800000"/>
          <a:headEnd/>
          <a:tailEnd/>
        </a:ln>
      </xdr:spPr>
      <xdr:txBody>
        <a:bodyPr vertOverflow="clip" wrap="square" lIns="27432" tIns="18288" rIns="0" bIns="0" anchor="t" upright="1"/>
        <a:lstStyle/>
        <a:p>
          <a:pPr algn="l" rtl="0">
            <a:defRPr sz="1000"/>
          </a:pPr>
          <a:r>
            <a:rPr lang="en-IN" sz="1100" b="0" i="0" u="none" strike="noStrike" baseline="0">
              <a:solidFill>
                <a:srgbClr val="FFFF00"/>
              </a:solidFill>
              <a:latin typeface="Aptos Narrow"/>
            </a:rPr>
            <a:t>Age Range</a:t>
          </a:r>
        </a:p>
        <a:p>
          <a:pPr algn="l" rtl="0">
            <a:defRPr sz="1000"/>
          </a:pPr>
          <a:r>
            <a:rPr lang="en-IN" sz="800" b="0" i="0" u="none" strike="noStrike" baseline="0">
              <a:solidFill>
                <a:schemeClr val="bg1">
                  <a:lumMod val="85000"/>
                </a:schemeClr>
              </a:solidFill>
              <a:latin typeface="Aptos Narrow"/>
            </a:rPr>
            <a:t>No. of employees according to age range and gender                                    </a:t>
          </a:r>
        </a:p>
      </xdr:txBody>
    </xdr:sp>
    <xdr:clientData/>
  </xdr:twoCellAnchor>
  <xdr:twoCellAnchor>
    <xdr:from>
      <xdr:col>5</xdr:col>
      <xdr:colOff>466725</xdr:colOff>
      <xdr:row>21</xdr:row>
      <xdr:rowOff>20411</xdr:rowOff>
    </xdr:from>
    <xdr:to>
      <xdr:col>7</xdr:col>
      <xdr:colOff>352425</xdr:colOff>
      <xdr:row>22</xdr:row>
      <xdr:rowOff>74839</xdr:rowOff>
    </xdr:to>
    <xdr:sp macro="" textlink="'Pivot Table'!G13">
      <xdr:nvSpPr>
        <xdr:cNvPr id="1066" name="Text Box 4">
          <a:extLst>
            <a:ext uri="{FF2B5EF4-FFF2-40B4-BE49-F238E27FC236}">
              <a16:creationId xmlns:a16="http://schemas.microsoft.com/office/drawing/2014/main" id="{00000000-0008-0000-0000-00002A040000}"/>
            </a:ext>
          </a:extLst>
        </xdr:cNvPr>
        <xdr:cNvSpPr txBox="1">
          <a:spLocks noChangeArrowheads="1"/>
        </xdr:cNvSpPr>
      </xdr:nvSpPr>
      <xdr:spPr bwMode="auto">
        <a:xfrm>
          <a:off x="3514725" y="4020911"/>
          <a:ext cx="1104900" cy="244928"/>
        </a:xfrm>
        <a:prstGeom prst="rect">
          <a:avLst/>
        </a:prstGeom>
        <a:noFill/>
        <a:ln w="9525">
          <a:noFill/>
          <a:miter lim="800000"/>
          <a:headEnd/>
          <a:tailEnd/>
        </a:ln>
      </xdr:spPr>
      <xdr:txBody>
        <a:bodyPr vertOverflow="clip" wrap="square" lIns="27432" tIns="18288" rIns="0" bIns="0" anchor="t" upright="1"/>
        <a:lstStyle/>
        <a:p>
          <a:pPr algn="l" rtl="0">
            <a:defRPr sz="1000"/>
          </a:pPr>
          <a:r>
            <a:rPr lang="en-IN" sz="1100" b="0" i="0" u="none" strike="noStrike" baseline="0">
              <a:solidFill>
                <a:schemeClr val="bg1"/>
              </a:solidFill>
              <a:latin typeface="Aptos Narrow"/>
            </a:rPr>
            <a:t>Female           Male</a:t>
          </a:r>
        </a:p>
      </xdr:txBody>
    </xdr:sp>
    <xdr:clientData/>
  </xdr:twoCellAnchor>
  <xdr:twoCellAnchor>
    <xdr:from>
      <xdr:col>5</xdr:col>
      <xdr:colOff>323850</xdr:colOff>
      <xdr:row>21</xdr:row>
      <xdr:rowOff>57149</xdr:rowOff>
    </xdr:from>
    <xdr:to>
      <xdr:col>5</xdr:col>
      <xdr:colOff>457200</xdr:colOff>
      <xdr:row>22</xdr:row>
      <xdr:rowOff>9524</xdr:rowOff>
    </xdr:to>
    <xdr:sp macro="" textlink="">
      <xdr:nvSpPr>
        <xdr:cNvPr id="1067" name="Flowchart: Connector 1066">
          <a:extLst>
            <a:ext uri="{FF2B5EF4-FFF2-40B4-BE49-F238E27FC236}">
              <a16:creationId xmlns:a16="http://schemas.microsoft.com/office/drawing/2014/main" id="{00000000-0008-0000-0000-00002B040000}"/>
            </a:ext>
          </a:extLst>
        </xdr:cNvPr>
        <xdr:cNvSpPr/>
      </xdr:nvSpPr>
      <xdr:spPr>
        <a:xfrm>
          <a:off x="3371850" y="4057649"/>
          <a:ext cx="133350" cy="142875"/>
        </a:xfrm>
        <a:prstGeom prst="flowChartConnector">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390525</xdr:colOff>
      <xdr:row>21</xdr:row>
      <xdr:rowOff>57149</xdr:rowOff>
    </xdr:from>
    <xdr:to>
      <xdr:col>6</xdr:col>
      <xdr:colOff>523875</xdr:colOff>
      <xdr:row>22</xdr:row>
      <xdr:rowOff>9524</xdr:rowOff>
    </xdr:to>
    <xdr:sp macro="" textlink="">
      <xdr:nvSpPr>
        <xdr:cNvPr id="1068" name="Flowchart: Connector 1067">
          <a:extLst>
            <a:ext uri="{FF2B5EF4-FFF2-40B4-BE49-F238E27FC236}">
              <a16:creationId xmlns:a16="http://schemas.microsoft.com/office/drawing/2014/main" id="{00000000-0008-0000-0000-00002C040000}"/>
            </a:ext>
          </a:extLst>
        </xdr:cNvPr>
        <xdr:cNvSpPr/>
      </xdr:nvSpPr>
      <xdr:spPr>
        <a:xfrm>
          <a:off x="4048125" y="4057649"/>
          <a:ext cx="133350" cy="142875"/>
        </a:xfrm>
        <a:prstGeom prst="flowChartConnector">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276224</xdr:colOff>
      <xdr:row>20</xdr:row>
      <xdr:rowOff>47626</xdr:rowOff>
    </xdr:from>
    <xdr:to>
      <xdr:col>3</xdr:col>
      <xdr:colOff>247649</xdr:colOff>
      <xdr:row>30</xdr:row>
      <xdr:rowOff>109538</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427266</xdr:colOff>
      <xdr:row>14</xdr:row>
      <xdr:rowOff>38100</xdr:rowOff>
    </xdr:from>
    <xdr:to>
      <xdr:col>2</xdr:col>
      <xdr:colOff>386443</xdr:colOff>
      <xdr:row>20</xdr:row>
      <xdr:rowOff>9525</xdr:rowOff>
    </xdr:to>
    <xdr:sp macro="" textlink="">
      <xdr:nvSpPr>
        <xdr:cNvPr id="6" name="Text Box 4">
          <a:extLst>
            <a:ext uri="{FF2B5EF4-FFF2-40B4-BE49-F238E27FC236}">
              <a16:creationId xmlns:a16="http://schemas.microsoft.com/office/drawing/2014/main" id="{00000000-0008-0000-0000-000006000000}"/>
            </a:ext>
          </a:extLst>
        </xdr:cNvPr>
        <xdr:cNvSpPr txBox="1">
          <a:spLocks noChangeArrowheads="1"/>
        </xdr:cNvSpPr>
      </xdr:nvSpPr>
      <xdr:spPr bwMode="auto">
        <a:xfrm>
          <a:off x="427266" y="2705100"/>
          <a:ext cx="1178377" cy="1114425"/>
        </a:xfrm>
        <a:prstGeom prst="rect">
          <a:avLst/>
        </a:prstGeom>
        <a:noFill/>
        <a:ln w="9525">
          <a:noFill/>
          <a:miter lim="800000"/>
          <a:headEnd/>
          <a:tailEnd/>
        </a:ln>
      </xdr:spPr>
      <xdr:txBody>
        <a:bodyPr vertOverflow="clip" wrap="square" lIns="27432" tIns="18288" rIns="0" bIns="0" anchor="t" upright="1"/>
        <a:lstStyle/>
        <a:p>
          <a:pPr algn="l" rtl="0">
            <a:defRPr sz="1000"/>
          </a:pPr>
          <a:endParaRPr lang="en-IN" sz="1100" b="0" i="0" u="none" strike="noStrike" baseline="0">
            <a:solidFill>
              <a:schemeClr val="bg1"/>
            </a:solidFill>
            <a:latin typeface="Aptos Narrow"/>
          </a:endParaRPr>
        </a:p>
        <a:p>
          <a:pPr algn="l" rtl="0">
            <a:defRPr sz="1000"/>
          </a:pPr>
          <a:r>
            <a:rPr lang="en-IN" sz="1100" b="0" i="0" u="none" strike="noStrike" baseline="0">
              <a:solidFill>
                <a:schemeClr val="bg1"/>
              </a:solidFill>
              <a:latin typeface="Aptos Narrow"/>
            </a:rPr>
            <a:t>Excel</a:t>
          </a:r>
        </a:p>
        <a:p>
          <a:pPr algn="l" rtl="0">
            <a:defRPr sz="1000"/>
          </a:pPr>
          <a:endParaRPr lang="en-IN" sz="1100" b="0" i="0" u="none" strike="noStrike" baseline="0">
            <a:solidFill>
              <a:schemeClr val="bg1"/>
            </a:solidFill>
            <a:latin typeface="Aptos Narrow"/>
          </a:endParaRPr>
        </a:p>
        <a:p>
          <a:pPr algn="l" rtl="0">
            <a:defRPr sz="1000"/>
          </a:pPr>
          <a:r>
            <a:rPr lang="en-IN" sz="1100" b="0" i="0" u="none" strike="noStrike" baseline="0">
              <a:solidFill>
                <a:schemeClr val="bg1"/>
              </a:solidFill>
              <a:latin typeface="Aptos Narrow"/>
            </a:rPr>
            <a:t>Management</a:t>
          </a:r>
        </a:p>
        <a:p>
          <a:pPr algn="l" rtl="0">
            <a:defRPr sz="1000"/>
          </a:pPr>
          <a:endParaRPr lang="en-IN" sz="1100" b="0" i="0" u="none" strike="noStrike" baseline="0">
            <a:solidFill>
              <a:schemeClr val="bg1"/>
            </a:solidFill>
            <a:latin typeface="Aptos Narrow"/>
          </a:endParaRPr>
        </a:p>
        <a:p>
          <a:pPr algn="l" rtl="0">
            <a:defRPr sz="1000"/>
          </a:pPr>
          <a:r>
            <a:rPr lang="en-IN" sz="1100" b="0" i="0" u="none" strike="noStrike" baseline="0">
              <a:solidFill>
                <a:schemeClr val="bg1"/>
              </a:solidFill>
              <a:latin typeface="Aptos Narrow"/>
            </a:rPr>
            <a:t>Python</a:t>
          </a:r>
        </a:p>
      </xdr:txBody>
    </xdr:sp>
    <xdr:clientData/>
  </xdr:twoCellAnchor>
  <xdr:twoCellAnchor>
    <xdr:from>
      <xdr:col>0</xdr:col>
      <xdr:colOff>436791</xdr:colOff>
      <xdr:row>10</xdr:row>
      <xdr:rowOff>19050</xdr:rowOff>
    </xdr:from>
    <xdr:to>
      <xdr:col>2</xdr:col>
      <xdr:colOff>395968</xdr:colOff>
      <xdr:row>14</xdr:row>
      <xdr:rowOff>168727</xdr:rowOff>
    </xdr:to>
    <xdr:sp macro="" textlink="">
      <xdr:nvSpPr>
        <xdr:cNvPr id="28" name="Text Box 4">
          <a:extLst>
            <a:ext uri="{FF2B5EF4-FFF2-40B4-BE49-F238E27FC236}">
              <a16:creationId xmlns:a16="http://schemas.microsoft.com/office/drawing/2014/main" id="{00000000-0008-0000-0000-00001C000000}"/>
            </a:ext>
          </a:extLst>
        </xdr:cNvPr>
        <xdr:cNvSpPr txBox="1">
          <a:spLocks noChangeArrowheads="1"/>
        </xdr:cNvSpPr>
      </xdr:nvSpPr>
      <xdr:spPr bwMode="auto">
        <a:xfrm>
          <a:off x="436791" y="1924050"/>
          <a:ext cx="1178377" cy="911677"/>
        </a:xfrm>
        <a:prstGeom prst="rect">
          <a:avLst/>
        </a:prstGeom>
        <a:noFill/>
        <a:ln w="9525">
          <a:noFill/>
          <a:miter lim="800000"/>
          <a:headEnd/>
          <a:tailEnd/>
        </a:ln>
      </xdr:spPr>
      <xdr:txBody>
        <a:bodyPr vertOverflow="clip" wrap="square" lIns="27432" tIns="18288" rIns="0" bIns="0" anchor="t" upright="1"/>
        <a:lstStyle/>
        <a:p>
          <a:pPr algn="l" rtl="0">
            <a:defRPr sz="1000"/>
          </a:pPr>
          <a:endParaRPr lang="en-IN" sz="1100" b="0" i="0" u="none" strike="noStrike" baseline="0">
            <a:solidFill>
              <a:schemeClr val="bg1"/>
            </a:solidFill>
            <a:latin typeface="Aptos Narrow"/>
          </a:endParaRPr>
        </a:p>
        <a:p>
          <a:pPr algn="l" rtl="0">
            <a:defRPr sz="1000"/>
          </a:pPr>
          <a:endParaRPr lang="en-IN" sz="1100" b="0" i="0" u="none" strike="noStrike" baseline="0">
            <a:solidFill>
              <a:schemeClr val="bg1"/>
            </a:solidFill>
            <a:latin typeface="Aptos Narrow"/>
          </a:endParaRPr>
        </a:p>
        <a:p>
          <a:pPr algn="l" rtl="0">
            <a:defRPr sz="1000"/>
          </a:pPr>
          <a:r>
            <a:rPr lang="en-IN" sz="1100" b="0" i="0" u="none" strike="noStrike" baseline="0">
              <a:solidFill>
                <a:schemeClr val="bg1"/>
              </a:solidFill>
              <a:latin typeface="Aptos Narrow"/>
            </a:rPr>
            <a:t>Communication</a:t>
          </a:r>
        </a:p>
        <a:p>
          <a:pPr algn="l" rtl="0">
            <a:defRPr sz="1000"/>
          </a:pPr>
          <a:endParaRPr lang="en-IN" sz="1100" b="0" i="0" u="none" strike="noStrike" baseline="0">
            <a:solidFill>
              <a:schemeClr val="bg1"/>
            </a:solidFill>
            <a:latin typeface="Aptos Narrow"/>
          </a:endParaRPr>
        </a:p>
        <a:p>
          <a:pPr algn="l" rtl="0">
            <a:defRPr sz="1000"/>
          </a:pPr>
          <a:r>
            <a:rPr lang="en-IN" sz="1100" b="0" i="0" u="none" strike="noStrike" baseline="0">
              <a:solidFill>
                <a:schemeClr val="bg1"/>
              </a:solidFill>
              <a:latin typeface="Aptos Narrow"/>
            </a:rPr>
            <a:t>Design</a:t>
          </a:r>
        </a:p>
        <a:p>
          <a:pPr algn="l" rtl="0">
            <a:defRPr sz="1000"/>
          </a:pPr>
          <a:endParaRPr lang="en-IN" sz="1100" b="0" i="0" u="none" strike="noStrike" baseline="0">
            <a:solidFill>
              <a:schemeClr val="bg1"/>
            </a:solidFill>
            <a:latin typeface="Aptos Narrow"/>
          </a:endParaRPr>
        </a:p>
        <a:p>
          <a:pPr algn="l" rtl="0">
            <a:defRPr sz="1000"/>
          </a:pPr>
          <a:endParaRPr lang="en-IN" sz="1100" b="0" i="0" u="none" strike="noStrike" baseline="0">
            <a:solidFill>
              <a:schemeClr val="bg1"/>
            </a:solidFill>
            <a:latin typeface="Aptos Narrow"/>
          </a:endParaRPr>
        </a:p>
      </xdr:txBody>
    </xdr:sp>
    <xdr:clientData/>
  </xdr:twoCellAnchor>
  <xdr:twoCellAnchor>
    <xdr:from>
      <xdr:col>2</xdr:col>
      <xdr:colOff>438150</xdr:colOff>
      <xdr:row>11</xdr:row>
      <xdr:rowOff>157843</xdr:rowOff>
    </xdr:from>
    <xdr:to>
      <xdr:col>3</xdr:col>
      <xdr:colOff>209550</xdr:colOff>
      <xdr:row>13</xdr:row>
      <xdr:rowOff>21771</xdr:rowOff>
    </xdr:to>
    <xdr:sp macro="" textlink="'Pivot Table'!V8">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1657350" y="2253343"/>
          <a:ext cx="381000" cy="244928"/>
        </a:xfrm>
        <a:prstGeom prst="rect">
          <a:avLst/>
        </a:prstGeom>
        <a:noFill/>
        <a:ln w="9525">
          <a:noFill/>
          <a:miter lim="800000"/>
          <a:headEnd/>
          <a:tailEnd/>
        </a:ln>
      </xdr:spPr>
      <xdr:txBody>
        <a:bodyPr vertOverflow="clip" wrap="square" lIns="27432" tIns="18288" rIns="0" bIns="0" anchor="t" upright="1"/>
        <a:lstStyle/>
        <a:p>
          <a:pPr algn="l" rtl="0">
            <a:defRPr sz="1000"/>
          </a:pPr>
          <a:fld id="{8369067C-3B43-4A76-8B61-FDA393FAB5BC}" type="TxLink">
            <a:rPr lang="en-US" sz="2000" b="1" i="0" u="none" strike="noStrike" baseline="0">
              <a:solidFill>
                <a:schemeClr val="bg1"/>
              </a:solidFill>
              <a:latin typeface="Aptos Narrow"/>
            </a:rPr>
            <a:t>12</a:t>
          </a:fld>
          <a:endParaRPr lang="en-US" sz="2000" b="1" i="0" u="none" strike="noStrike" baseline="0">
            <a:solidFill>
              <a:schemeClr val="bg1"/>
            </a:solidFill>
            <a:latin typeface="Aptos Narrow"/>
          </a:endParaRPr>
        </a:p>
      </xdr:txBody>
    </xdr:sp>
    <xdr:clientData/>
  </xdr:twoCellAnchor>
  <xdr:twoCellAnchor>
    <xdr:from>
      <xdr:col>2</xdr:col>
      <xdr:colOff>428624</xdr:colOff>
      <xdr:row>13</xdr:row>
      <xdr:rowOff>81643</xdr:rowOff>
    </xdr:from>
    <xdr:to>
      <xdr:col>3</xdr:col>
      <xdr:colOff>209549</xdr:colOff>
      <xdr:row>14</xdr:row>
      <xdr:rowOff>136071</xdr:rowOff>
    </xdr:to>
    <xdr:sp macro="" textlink="'Pivot Table'!V9">
      <xdr:nvSpPr>
        <xdr:cNvPr id="34" name="Text Box 4">
          <a:extLst>
            <a:ext uri="{FF2B5EF4-FFF2-40B4-BE49-F238E27FC236}">
              <a16:creationId xmlns:a16="http://schemas.microsoft.com/office/drawing/2014/main" id="{00000000-0008-0000-0000-000022000000}"/>
            </a:ext>
          </a:extLst>
        </xdr:cNvPr>
        <xdr:cNvSpPr txBox="1">
          <a:spLocks noChangeArrowheads="1"/>
        </xdr:cNvSpPr>
      </xdr:nvSpPr>
      <xdr:spPr bwMode="auto">
        <a:xfrm>
          <a:off x="1647824" y="2558143"/>
          <a:ext cx="390525" cy="244928"/>
        </a:xfrm>
        <a:prstGeom prst="rect">
          <a:avLst/>
        </a:prstGeom>
        <a:noFill/>
        <a:ln w="9525">
          <a:noFill/>
          <a:miter lim="800000"/>
          <a:headEnd/>
          <a:tailEnd/>
        </a:ln>
      </xdr:spPr>
      <xdr:txBody>
        <a:bodyPr vertOverflow="clip" wrap="square" lIns="27432" tIns="18288" rIns="0" bIns="0" anchor="t" upright="1"/>
        <a:lstStyle/>
        <a:p>
          <a:pPr algn="l" rtl="0">
            <a:defRPr sz="1000"/>
          </a:pPr>
          <a:fld id="{6EF4C9C5-3CAD-4B77-B4B9-5D959954A724}" type="TxLink">
            <a:rPr lang="en-US" sz="2000" b="1" i="0" u="none" strike="noStrike" baseline="0">
              <a:solidFill>
                <a:schemeClr val="bg1"/>
              </a:solidFill>
              <a:latin typeface="Aptos Narrow"/>
            </a:rPr>
            <a:t>11</a:t>
          </a:fld>
          <a:endParaRPr lang="en-IN" sz="2000" b="1" i="0" u="none" strike="noStrike" baseline="0">
            <a:solidFill>
              <a:schemeClr val="bg1"/>
            </a:solidFill>
            <a:latin typeface="Aptos Narrow"/>
          </a:endParaRPr>
        </a:p>
      </xdr:txBody>
    </xdr:sp>
    <xdr:clientData/>
  </xdr:twoCellAnchor>
  <xdr:twoCellAnchor>
    <xdr:from>
      <xdr:col>2</xdr:col>
      <xdr:colOff>428625</xdr:colOff>
      <xdr:row>14</xdr:row>
      <xdr:rowOff>176893</xdr:rowOff>
    </xdr:from>
    <xdr:to>
      <xdr:col>3</xdr:col>
      <xdr:colOff>123825</xdr:colOff>
      <xdr:row>16</xdr:row>
      <xdr:rowOff>40821</xdr:rowOff>
    </xdr:to>
    <xdr:sp macro="" textlink="'Pivot Table'!V10">
      <xdr:nvSpPr>
        <xdr:cNvPr id="36" name="Text Box 4">
          <a:extLst>
            <a:ext uri="{FF2B5EF4-FFF2-40B4-BE49-F238E27FC236}">
              <a16:creationId xmlns:a16="http://schemas.microsoft.com/office/drawing/2014/main" id="{00000000-0008-0000-0000-000024000000}"/>
            </a:ext>
          </a:extLst>
        </xdr:cNvPr>
        <xdr:cNvSpPr txBox="1">
          <a:spLocks noChangeArrowheads="1"/>
        </xdr:cNvSpPr>
      </xdr:nvSpPr>
      <xdr:spPr bwMode="auto">
        <a:xfrm>
          <a:off x="1647825" y="2843893"/>
          <a:ext cx="304800" cy="244928"/>
        </a:xfrm>
        <a:prstGeom prst="rect">
          <a:avLst/>
        </a:prstGeom>
        <a:noFill/>
        <a:ln w="9525">
          <a:noFill/>
          <a:miter lim="800000"/>
          <a:headEnd/>
          <a:tailEnd/>
        </a:ln>
      </xdr:spPr>
      <xdr:txBody>
        <a:bodyPr vertOverflow="clip" wrap="square" lIns="27432" tIns="18288" rIns="0" bIns="0" anchor="t" upright="1"/>
        <a:lstStyle/>
        <a:p>
          <a:pPr algn="l" rtl="0">
            <a:defRPr sz="1000"/>
          </a:pPr>
          <a:fld id="{411BF630-0D26-474C-93AB-1E9094B74A1C}" type="TxLink">
            <a:rPr lang="en-US" sz="2000" b="1" i="0" u="none" strike="noStrike" baseline="0">
              <a:solidFill>
                <a:schemeClr val="bg1"/>
              </a:solidFill>
              <a:latin typeface="Aptos Narrow"/>
            </a:rPr>
            <a:t>7</a:t>
          </a:fld>
          <a:endParaRPr lang="en-IN" sz="2000" b="1" i="0" u="none" strike="noStrike" baseline="0">
            <a:solidFill>
              <a:schemeClr val="bg1"/>
            </a:solidFill>
            <a:latin typeface="Aptos Narrow"/>
          </a:endParaRPr>
        </a:p>
      </xdr:txBody>
    </xdr:sp>
    <xdr:clientData/>
  </xdr:twoCellAnchor>
  <xdr:twoCellAnchor>
    <xdr:from>
      <xdr:col>2</xdr:col>
      <xdr:colOff>419100</xdr:colOff>
      <xdr:row>16</xdr:row>
      <xdr:rowOff>91168</xdr:rowOff>
    </xdr:from>
    <xdr:to>
      <xdr:col>3</xdr:col>
      <xdr:colOff>266700</xdr:colOff>
      <xdr:row>17</xdr:row>
      <xdr:rowOff>145596</xdr:rowOff>
    </xdr:to>
    <xdr:sp macro="" textlink="'Pivot Table'!V11">
      <xdr:nvSpPr>
        <xdr:cNvPr id="38" name="Text Box 4">
          <a:extLst>
            <a:ext uri="{FF2B5EF4-FFF2-40B4-BE49-F238E27FC236}">
              <a16:creationId xmlns:a16="http://schemas.microsoft.com/office/drawing/2014/main" id="{00000000-0008-0000-0000-000026000000}"/>
            </a:ext>
          </a:extLst>
        </xdr:cNvPr>
        <xdr:cNvSpPr txBox="1">
          <a:spLocks noChangeArrowheads="1"/>
        </xdr:cNvSpPr>
      </xdr:nvSpPr>
      <xdr:spPr bwMode="auto">
        <a:xfrm>
          <a:off x="1638300" y="3139168"/>
          <a:ext cx="457200" cy="244928"/>
        </a:xfrm>
        <a:prstGeom prst="rect">
          <a:avLst/>
        </a:prstGeom>
        <a:noFill/>
        <a:ln w="9525">
          <a:noFill/>
          <a:miter lim="800000"/>
          <a:headEnd/>
          <a:tailEnd/>
        </a:ln>
      </xdr:spPr>
      <xdr:txBody>
        <a:bodyPr vertOverflow="clip" wrap="square" lIns="27432" tIns="18288" rIns="0" bIns="0" anchor="t" upright="1"/>
        <a:lstStyle/>
        <a:p>
          <a:pPr algn="l" rtl="0">
            <a:defRPr sz="1000"/>
          </a:pPr>
          <a:fld id="{ADD8530D-A67F-43B0-ADBC-3594D560A37C}" type="TxLink">
            <a:rPr lang="en-US" sz="2000" b="1" i="0" u="none" strike="noStrike" baseline="0">
              <a:solidFill>
                <a:schemeClr val="bg1"/>
              </a:solidFill>
              <a:latin typeface="Aptos Narrow"/>
            </a:rPr>
            <a:t>11</a:t>
          </a:fld>
          <a:endParaRPr lang="en-IN" sz="2000" b="1" i="0" u="none" strike="noStrike" baseline="0">
            <a:solidFill>
              <a:schemeClr val="bg1"/>
            </a:solidFill>
            <a:latin typeface="Aptos Narrow"/>
          </a:endParaRPr>
        </a:p>
      </xdr:txBody>
    </xdr:sp>
    <xdr:clientData/>
  </xdr:twoCellAnchor>
  <xdr:twoCellAnchor>
    <xdr:from>
      <xdr:col>2</xdr:col>
      <xdr:colOff>400049</xdr:colOff>
      <xdr:row>18</xdr:row>
      <xdr:rowOff>34018</xdr:rowOff>
    </xdr:from>
    <xdr:to>
      <xdr:col>3</xdr:col>
      <xdr:colOff>257174</xdr:colOff>
      <xdr:row>19</xdr:row>
      <xdr:rowOff>88446</xdr:rowOff>
    </xdr:to>
    <xdr:sp macro="" textlink="'Pivot Table'!V12">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1619249" y="3463018"/>
          <a:ext cx="466725" cy="244928"/>
        </a:xfrm>
        <a:prstGeom prst="rect">
          <a:avLst/>
        </a:prstGeom>
        <a:noFill/>
        <a:ln w="9525">
          <a:noFill/>
          <a:miter lim="800000"/>
          <a:headEnd/>
          <a:tailEnd/>
        </a:ln>
      </xdr:spPr>
      <xdr:txBody>
        <a:bodyPr vertOverflow="clip" wrap="square" lIns="27432" tIns="18288" rIns="0" bIns="0" anchor="t" upright="1"/>
        <a:lstStyle/>
        <a:p>
          <a:pPr algn="l" rtl="0">
            <a:defRPr sz="1000"/>
          </a:pPr>
          <a:fld id="{1E8C399C-94B6-43CF-AC4C-643B47859D8B}" type="TxLink">
            <a:rPr lang="en-US" sz="2000" b="1" i="0" u="none" strike="noStrike" baseline="0">
              <a:solidFill>
                <a:schemeClr val="bg1"/>
              </a:solidFill>
              <a:latin typeface="Aptos Narrow"/>
            </a:rPr>
            <a:t>9</a:t>
          </a:fld>
          <a:endParaRPr lang="en-IN" sz="2000" b="1" i="0" u="none" strike="noStrike" baseline="0">
            <a:solidFill>
              <a:schemeClr val="bg1"/>
            </a:solidFill>
            <a:latin typeface="Aptos Narrow"/>
          </a:endParaRPr>
        </a:p>
      </xdr:txBody>
    </xdr:sp>
    <xdr:clientData/>
  </xdr:twoCellAnchor>
  <xdr:twoCellAnchor>
    <xdr:from>
      <xdr:col>0</xdr:col>
      <xdr:colOff>304800</xdr:colOff>
      <xdr:row>18</xdr:row>
      <xdr:rowOff>161925</xdr:rowOff>
    </xdr:from>
    <xdr:to>
      <xdr:col>0</xdr:col>
      <xdr:colOff>438150</xdr:colOff>
      <xdr:row>19</xdr:row>
      <xdr:rowOff>114300</xdr:rowOff>
    </xdr:to>
    <xdr:sp macro="" textlink="">
      <xdr:nvSpPr>
        <xdr:cNvPr id="46" name="Flowchart: Connector 45">
          <a:extLst>
            <a:ext uri="{FF2B5EF4-FFF2-40B4-BE49-F238E27FC236}">
              <a16:creationId xmlns:a16="http://schemas.microsoft.com/office/drawing/2014/main" id="{00000000-0008-0000-0000-00002E000000}"/>
            </a:ext>
          </a:extLst>
        </xdr:cNvPr>
        <xdr:cNvSpPr/>
      </xdr:nvSpPr>
      <xdr:spPr>
        <a:xfrm>
          <a:off x="304800" y="3590925"/>
          <a:ext cx="133350" cy="142875"/>
        </a:xfrm>
        <a:prstGeom prst="flowChartConnector">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276225</xdr:colOff>
      <xdr:row>17</xdr:row>
      <xdr:rowOff>9525</xdr:rowOff>
    </xdr:from>
    <xdr:to>
      <xdr:col>0</xdr:col>
      <xdr:colOff>409575</xdr:colOff>
      <xdr:row>17</xdr:row>
      <xdr:rowOff>152400</xdr:rowOff>
    </xdr:to>
    <xdr:sp macro="" textlink="">
      <xdr:nvSpPr>
        <xdr:cNvPr id="48" name="Flowchart: Connector 47">
          <a:extLst>
            <a:ext uri="{FF2B5EF4-FFF2-40B4-BE49-F238E27FC236}">
              <a16:creationId xmlns:a16="http://schemas.microsoft.com/office/drawing/2014/main" id="{00000000-0008-0000-0000-000030000000}"/>
            </a:ext>
          </a:extLst>
        </xdr:cNvPr>
        <xdr:cNvSpPr/>
      </xdr:nvSpPr>
      <xdr:spPr>
        <a:xfrm>
          <a:off x="276225" y="3248025"/>
          <a:ext cx="133350" cy="142875"/>
        </a:xfrm>
        <a:prstGeom prst="flowChartConnector">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285750</xdr:colOff>
      <xdr:row>15</xdr:row>
      <xdr:rowOff>57150</xdr:rowOff>
    </xdr:from>
    <xdr:to>
      <xdr:col>0</xdr:col>
      <xdr:colOff>419100</xdr:colOff>
      <xdr:row>16</xdr:row>
      <xdr:rowOff>9525</xdr:rowOff>
    </xdr:to>
    <xdr:sp macro="" textlink="">
      <xdr:nvSpPr>
        <xdr:cNvPr id="53" name="Flowchart: Connector 52">
          <a:extLst>
            <a:ext uri="{FF2B5EF4-FFF2-40B4-BE49-F238E27FC236}">
              <a16:creationId xmlns:a16="http://schemas.microsoft.com/office/drawing/2014/main" id="{00000000-0008-0000-0000-000035000000}"/>
            </a:ext>
          </a:extLst>
        </xdr:cNvPr>
        <xdr:cNvSpPr/>
      </xdr:nvSpPr>
      <xdr:spPr>
        <a:xfrm>
          <a:off x="285750" y="2914650"/>
          <a:ext cx="133350" cy="142875"/>
        </a:xfrm>
        <a:prstGeom prst="flowChartConnector">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285750</xdr:colOff>
      <xdr:row>13</xdr:row>
      <xdr:rowOff>152400</xdr:rowOff>
    </xdr:from>
    <xdr:to>
      <xdr:col>0</xdr:col>
      <xdr:colOff>419100</xdr:colOff>
      <xdr:row>14</xdr:row>
      <xdr:rowOff>104775</xdr:rowOff>
    </xdr:to>
    <xdr:sp macro="" textlink="">
      <xdr:nvSpPr>
        <xdr:cNvPr id="54" name="Flowchart: Connector 53">
          <a:extLst>
            <a:ext uri="{FF2B5EF4-FFF2-40B4-BE49-F238E27FC236}">
              <a16:creationId xmlns:a16="http://schemas.microsoft.com/office/drawing/2014/main" id="{00000000-0008-0000-0000-000036000000}"/>
            </a:ext>
          </a:extLst>
        </xdr:cNvPr>
        <xdr:cNvSpPr/>
      </xdr:nvSpPr>
      <xdr:spPr>
        <a:xfrm>
          <a:off x="285750" y="2628900"/>
          <a:ext cx="133350" cy="142875"/>
        </a:xfrm>
        <a:prstGeom prst="flowChartConnector">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295275</xdr:colOff>
      <xdr:row>12</xdr:row>
      <xdr:rowOff>9525</xdr:rowOff>
    </xdr:from>
    <xdr:to>
      <xdr:col>0</xdr:col>
      <xdr:colOff>428625</xdr:colOff>
      <xdr:row>12</xdr:row>
      <xdr:rowOff>152400</xdr:rowOff>
    </xdr:to>
    <xdr:sp macro="" textlink="">
      <xdr:nvSpPr>
        <xdr:cNvPr id="55" name="Flowchart: Connector 54">
          <a:extLst>
            <a:ext uri="{FF2B5EF4-FFF2-40B4-BE49-F238E27FC236}">
              <a16:creationId xmlns:a16="http://schemas.microsoft.com/office/drawing/2014/main" id="{00000000-0008-0000-0000-000037000000}"/>
            </a:ext>
          </a:extLst>
        </xdr:cNvPr>
        <xdr:cNvSpPr/>
      </xdr:nvSpPr>
      <xdr:spPr>
        <a:xfrm>
          <a:off x="295275" y="2295525"/>
          <a:ext cx="133350" cy="142875"/>
        </a:xfrm>
        <a:prstGeom prst="flowChartConnector">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323850</xdr:colOff>
      <xdr:row>7</xdr:row>
      <xdr:rowOff>133351</xdr:rowOff>
    </xdr:from>
    <xdr:to>
      <xdr:col>2</xdr:col>
      <xdr:colOff>500742</xdr:colOff>
      <xdr:row>11</xdr:row>
      <xdr:rowOff>38101</xdr:rowOff>
    </xdr:to>
    <xdr:sp macro="" textlink="">
      <xdr:nvSpPr>
        <xdr:cNvPr id="63" name="Rectangle: Rounded Corners 62">
          <a:extLst>
            <a:ext uri="{FF2B5EF4-FFF2-40B4-BE49-F238E27FC236}">
              <a16:creationId xmlns:a16="http://schemas.microsoft.com/office/drawing/2014/main" id="{00000000-0008-0000-0000-00003F000000}"/>
            </a:ext>
          </a:extLst>
        </xdr:cNvPr>
        <xdr:cNvSpPr/>
      </xdr:nvSpPr>
      <xdr:spPr>
        <a:xfrm>
          <a:off x="323850" y="1466851"/>
          <a:ext cx="1396092" cy="6667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800" baseline="0">
              <a:solidFill>
                <a:srgbClr val="FFFF00"/>
              </a:solidFill>
            </a:rPr>
            <a:t>Skills</a:t>
          </a:r>
        </a:p>
        <a:p>
          <a:r>
            <a:rPr lang="en-US" sz="1800" baseline="0">
              <a:solidFill>
                <a:srgbClr val="FFFF00"/>
              </a:solidFill>
            </a:rPr>
            <a:t>Breakdown</a:t>
          </a:r>
        </a:p>
      </xdr:txBody>
    </xdr:sp>
    <xdr:clientData/>
  </xdr:twoCellAnchor>
  <xdr:twoCellAnchor>
    <xdr:from>
      <xdr:col>3</xdr:col>
      <xdr:colOff>538841</xdr:colOff>
      <xdr:row>6</xdr:row>
      <xdr:rowOff>47624</xdr:rowOff>
    </xdr:from>
    <xdr:to>
      <xdr:col>6</xdr:col>
      <xdr:colOff>157841</xdr:colOff>
      <xdr:row>7</xdr:row>
      <xdr:rowOff>114299</xdr:rowOff>
    </xdr:to>
    <xdr:sp macro="" textlink="">
      <xdr:nvSpPr>
        <xdr:cNvPr id="1026" name="Rectangle: Rounded Corners 1025">
          <a:extLst>
            <a:ext uri="{FF2B5EF4-FFF2-40B4-BE49-F238E27FC236}">
              <a16:creationId xmlns:a16="http://schemas.microsoft.com/office/drawing/2014/main" id="{00000000-0008-0000-0000-000002040000}"/>
            </a:ext>
          </a:extLst>
        </xdr:cNvPr>
        <xdr:cNvSpPr/>
      </xdr:nvSpPr>
      <xdr:spPr>
        <a:xfrm>
          <a:off x="2367641" y="1190624"/>
          <a:ext cx="1447800" cy="2571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200" baseline="0">
              <a:solidFill>
                <a:srgbClr val="FFFF00"/>
              </a:solidFill>
            </a:rPr>
            <a:t>Employees Number</a:t>
          </a:r>
        </a:p>
        <a:p>
          <a:endParaRPr lang="en-US" sz="800">
            <a:solidFill>
              <a:schemeClr val="bg1">
                <a:lumMod val="75000"/>
              </a:schemeClr>
            </a:solidFill>
          </a:endParaRPr>
        </a:p>
      </xdr:txBody>
    </xdr:sp>
    <xdr:clientData/>
  </xdr:twoCellAnchor>
  <xdr:twoCellAnchor>
    <xdr:from>
      <xdr:col>4</xdr:col>
      <xdr:colOff>295275</xdr:colOff>
      <xdr:row>7</xdr:row>
      <xdr:rowOff>133350</xdr:rowOff>
    </xdr:from>
    <xdr:to>
      <xdr:col>5</xdr:col>
      <xdr:colOff>123825</xdr:colOff>
      <xdr:row>9</xdr:row>
      <xdr:rowOff>145596</xdr:rowOff>
    </xdr:to>
    <xdr:sp macro="" textlink="'Pivot Table'!S40">
      <xdr:nvSpPr>
        <xdr:cNvPr id="1030" name="Text Box 4">
          <a:extLst>
            <a:ext uri="{FF2B5EF4-FFF2-40B4-BE49-F238E27FC236}">
              <a16:creationId xmlns:a16="http://schemas.microsoft.com/office/drawing/2014/main" id="{00000000-0008-0000-0000-000006040000}"/>
            </a:ext>
          </a:extLst>
        </xdr:cNvPr>
        <xdr:cNvSpPr txBox="1">
          <a:spLocks noChangeArrowheads="1"/>
        </xdr:cNvSpPr>
      </xdr:nvSpPr>
      <xdr:spPr bwMode="auto">
        <a:xfrm>
          <a:off x="2733675" y="1466850"/>
          <a:ext cx="438150" cy="393246"/>
        </a:xfrm>
        <a:prstGeom prst="rect">
          <a:avLst/>
        </a:prstGeom>
        <a:noFill/>
        <a:ln w="9525">
          <a:noFill/>
          <a:miter lim="800000"/>
          <a:headEnd/>
          <a:tailEnd/>
        </a:ln>
      </xdr:spPr>
      <xdr:txBody>
        <a:bodyPr vertOverflow="clip" wrap="square" lIns="27432" tIns="18288" rIns="0" bIns="0" anchor="t" upright="1"/>
        <a:lstStyle/>
        <a:p>
          <a:pPr algn="l" rtl="0">
            <a:defRPr sz="1000"/>
          </a:pPr>
          <a:fld id="{CE6D0C0F-8450-4B11-83CC-5FE6D591D307}" type="TxLink">
            <a:rPr lang="en-US" sz="2400" b="1" i="0" u="none" strike="noStrike" baseline="0">
              <a:solidFill>
                <a:schemeClr val="bg1"/>
              </a:solidFill>
              <a:latin typeface="Aptos Narrow"/>
            </a:rPr>
            <a:t>50</a:t>
          </a:fld>
          <a:endParaRPr lang="en-US" sz="2400" b="1" i="0" u="none" strike="noStrike" baseline="0">
            <a:solidFill>
              <a:schemeClr val="bg1"/>
            </a:solidFill>
            <a:latin typeface="Aptos Narrow"/>
          </a:endParaRPr>
        </a:p>
      </xdr:txBody>
    </xdr:sp>
    <xdr:clientData/>
  </xdr:twoCellAnchor>
  <xdr:twoCellAnchor>
    <xdr:from>
      <xdr:col>3</xdr:col>
      <xdr:colOff>561975</xdr:colOff>
      <xdr:row>9</xdr:row>
      <xdr:rowOff>66675</xdr:rowOff>
    </xdr:from>
    <xdr:to>
      <xdr:col>6</xdr:col>
      <xdr:colOff>111577</xdr:colOff>
      <xdr:row>11</xdr:row>
      <xdr:rowOff>9525</xdr:rowOff>
    </xdr:to>
    <xdr:sp macro="" textlink="">
      <xdr:nvSpPr>
        <xdr:cNvPr id="1032" name="Rectangle: Rounded Corners 1031">
          <a:extLst>
            <a:ext uri="{FF2B5EF4-FFF2-40B4-BE49-F238E27FC236}">
              <a16:creationId xmlns:a16="http://schemas.microsoft.com/office/drawing/2014/main" id="{00000000-0008-0000-0000-000008040000}"/>
            </a:ext>
          </a:extLst>
        </xdr:cNvPr>
        <xdr:cNvSpPr/>
      </xdr:nvSpPr>
      <xdr:spPr>
        <a:xfrm>
          <a:off x="2390775" y="1781175"/>
          <a:ext cx="1378402" cy="3238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baseline="0">
              <a:solidFill>
                <a:schemeClr val="bg1">
                  <a:lumMod val="85000"/>
                </a:schemeClr>
              </a:solidFill>
            </a:rPr>
            <a:t>Total Employees</a:t>
          </a:r>
        </a:p>
        <a:p>
          <a:r>
            <a:rPr lang="en-US" sz="800">
              <a:solidFill>
                <a:schemeClr val="bg1">
                  <a:lumMod val="75000"/>
                </a:schemeClr>
              </a:solidFill>
            </a:rPr>
            <a:t> </a:t>
          </a:r>
        </a:p>
      </xdr:txBody>
    </xdr:sp>
    <xdr:clientData/>
  </xdr:twoCellAnchor>
  <xdr:twoCellAnchor>
    <xdr:from>
      <xdr:col>3</xdr:col>
      <xdr:colOff>518430</xdr:colOff>
      <xdr:row>16</xdr:row>
      <xdr:rowOff>85725</xdr:rowOff>
    </xdr:from>
    <xdr:to>
      <xdr:col>5</xdr:col>
      <xdr:colOff>485775</xdr:colOff>
      <xdr:row>17</xdr:row>
      <xdr:rowOff>161925</xdr:rowOff>
    </xdr:to>
    <xdr:sp macro="" textlink="">
      <xdr:nvSpPr>
        <xdr:cNvPr id="1062" name="Rectangle: Rounded Corners 1061">
          <a:extLst>
            <a:ext uri="{FF2B5EF4-FFF2-40B4-BE49-F238E27FC236}">
              <a16:creationId xmlns:a16="http://schemas.microsoft.com/office/drawing/2014/main" id="{00000000-0008-0000-0000-000026040000}"/>
            </a:ext>
          </a:extLst>
        </xdr:cNvPr>
        <xdr:cNvSpPr/>
      </xdr:nvSpPr>
      <xdr:spPr>
        <a:xfrm>
          <a:off x="2347230" y="3133725"/>
          <a:ext cx="1186545" cy="2667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200" baseline="0">
              <a:solidFill>
                <a:srgbClr val="FFFF00"/>
              </a:solidFill>
            </a:rPr>
            <a:t>Total  Females</a:t>
          </a:r>
        </a:p>
        <a:p>
          <a:endParaRPr lang="en-US" sz="800">
            <a:solidFill>
              <a:schemeClr val="bg1">
                <a:lumMod val="75000"/>
              </a:schemeClr>
            </a:solidFill>
          </a:endParaRPr>
        </a:p>
      </xdr:txBody>
    </xdr:sp>
    <xdr:clientData/>
  </xdr:twoCellAnchor>
  <xdr:twoCellAnchor>
    <xdr:from>
      <xdr:col>4</xdr:col>
      <xdr:colOff>190500</xdr:colOff>
      <xdr:row>14</xdr:row>
      <xdr:rowOff>133350</xdr:rowOff>
    </xdr:from>
    <xdr:to>
      <xdr:col>5</xdr:col>
      <xdr:colOff>19050</xdr:colOff>
      <xdr:row>16</xdr:row>
      <xdr:rowOff>145596</xdr:rowOff>
    </xdr:to>
    <xdr:sp macro="" textlink="'Pivot Table'!S38">
      <xdr:nvSpPr>
        <xdr:cNvPr id="1064" name="Text Box 4">
          <a:extLst>
            <a:ext uri="{FF2B5EF4-FFF2-40B4-BE49-F238E27FC236}">
              <a16:creationId xmlns:a16="http://schemas.microsoft.com/office/drawing/2014/main" id="{00000000-0008-0000-0000-000028040000}"/>
            </a:ext>
          </a:extLst>
        </xdr:cNvPr>
        <xdr:cNvSpPr txBox="1">
          <a:spLocks noChangeArrowheads="1"/>
        </xdr:cNvSpPr>
      </xdr:nvSpPr>
      <xdr:spPr bwMode="auto">
        <a:xfrm>
          <a:off x="2628900" y="2800350"/>
          <a:ext cx="438150" cy="393246"/>
        </a:xfrm>
        <a:prstGeom prst="rect">
          <a:avLst/>
        </a:prstGeom>
        <a:noFill/>
        <a:ln w="9525">
          <a:noFill/>
          <a:miter lim="800000"/>
          <a:headEnd/>
          <a:tailEnd/>
        </a:ln>
      </xdr:spPr>
      <xdr:txBody>
        <a:bodyPr vertOverflow="clip" wrap="square" lIns="27432" tIns="18288" rIns="0" bIns="0" anchor="t" upright="1"/>
        <a:lstStyle/>
        <a:p>
          <a:pPr algn="l" rtl="0">
            <a:defRPr sz="1000"/>
          </a:pPr>
          <a:fld id="{EE597D07-E327-4692-A639-76EC8E4AD716}" type="TxLink">
            <a:rPr lang="en-US" sz="2400" b="1" i="0" u="none" strike="noStrike" baseline="0">
              <a:solidFill>
                <a:schemeClr val="bg1"/>
              </a:solidFill>
              <a:latin typeface="Aptos Narrow"/>
            </a:rPr>
            <a:t>26</a:t>
          </a:fld>
          <a:endParaRPr lang="en-US" sz="2400" b="1" i="0" u="none" strike="noStrike" baseline="0">
            <a:solidFill>
              <a:schemeClr val="bg1"/>
            </a:solidFill>
            <a:latin typeface="Aptos Narrow"/>
          </a:endParaRPr>
        </a:p>
      </xdr:txBody>
    </xdr:sp>
    <xdr:clientData/>
  </xdr:twoCellAnchor>
  <xdr:twoCellAnchor>
    <xdr:from>
      <xdr:col>6</xdr:col>
      <xdr:colOff>352425</xdr:colOff>
      <xdr:row>14</xdr:row>
      <xdr:rowOff>114300</xdr:rowOff>
    </xdr:from>
    <xdr:to>
      <xdr:col>7</xdr:col>
      <xdr:colOff>180975</xdr:colOff>
      <xdr:row>16</xdr:row>
      <xdr:rowOff>126546</xdr:rowOff>
    </xdr:to>
    <xdr:sp macro="" textlink="'Pivot Table'!S39">
      <xdr:nvSpPr>
        <xdr:cNvPr id="1065" name="Text Box 4">
          <a:extLst>
            <a:ext uri="{FF2B5EF4-FFF2-40B4-BE49-F238E27FC236}">
              <a16:creationId xmlns:a16="http://schemas.microsoft.com/office/drawing/2014/main" id="{00000000-0008-0000-0000-000029040000}"/>
            </a:ext>
          </a:extLst>
        </xdr:cNvPr>
        <xdr:cNvSpPr txBox="1">
          <a:spLocks noChangeArrowheads="1"/>
        </xdr:cNvSpPr>
      </xdr:nvSpPr>
      <xdr:spPr bwMode="auto">
        <a:xfrm>
          <a:off x="4010025" y="2781300"/>
          <a:ext cx="438150" cy="393246"/>
        </a:xfrm>
        <a:prstGeom prst="rect">
          <a:avLst/>
        </a:prstGeom>
        <a:noFill/>
        <a:ln w="9525">
          <a:noFill/>
          <a:miter lim="800000"/>
          <a:headEnd/>
          <a:tailEnd/>
        </a:ln>
      </xdr:spPr>
      <xdr:txBody>
        <a:bodyPr vertOverflow="clip" wrap="square" lIns="27432" tIns="18288" rIns="0" bIns="0" anchor="t" upright="1"/>
        <a:lstStyle/>
        <a:p>
          <a:pPr algn="l" rtl="0">
            <a:defRPr sz="1000"/>
          </a:pPr>
          <a:fld id="{2D7B611E-0160-4757-85CC-86F74FCB6B2B}" type="TxLink">
            <a:rPr lang="en-US" sz="2400" b="1" i="0" u="none" strike="noStrike" baseline="0">
              <a:solidFill>
                <a:schemeClr val="bg1"/>
              </a:solidFill>
              <a:latin typeface="Aptos Narrow"/>
            </a:rPr>
            <a:t>24</a:t>
          </a:fld>
          <a:endParaRPr lang="en-US" sz="2400" b="1" i="0" u="none" strike="noStrike" baseline="0">
            <a:solidFill>
              <a:schemeClr val="bg1"/>
            </a:solidFill>
            <a:latin typeface="Aptos Narrow"/>
          </a:endParaRPr>
        </a:p>
      </xdr:txBody>
    </xdr:sp>
    <xdr:clientData/>
  </xdr:twoCellAnchor>
  <xdr:twoCellAnchor editAs="oneCell">
    <xdr:from>
      <xdr:col>6</xdr:col>
      <xdr:colOff>127905</xdr:colOff>
      <xdr:row>16</xdr:row>
      <xdr:rowOff>76200</xdr:rowOff>
    </xdr:from>
    <xdr:to>
      <xdr:col>7</xdr:col>
      <xdr:colOff>420591</xdr:colOff>
      <xdr:row>18</xdr:row>
      <xdr:rowOff>9524</xdr:rowOff>
    </xdr:to>
    <xdr:pic>
      <xdr:nvPicPr>
        <xdr:cNvPr id="1070" name="Picture 1069">
          <a:extLst>
            <a:ext uri="{FF2B5EF4-FFF2-40B4-BE49-F238E27FC236}">
              <a16:creationId xmlns:a16="http://schemas.microsoft.com/office/drawing/2014/main" id="{00000000-0008-0000-0000-00002E040000}"/>
            </a:ext>
          </a:extLst>
        </xdr:cNvPr>
        <xdr:cNvPicPr>
          <a:picLocks noChangeAspect="1"/>
        </xdr:cNvPicPr>
      </xdr:nvPicPr>
      <xdr:blipFill>
        <a:blip xmlns:r="http://schemas.openxmlformats.org/officeDocument/2006/relationships" r:embed="rId4"/>
        <a:stretch>
          <a:fillRect/>
        </a:stretch>
      </xdr:blipFill>
      <xdr:spPr>
        <a:xfrm>
          <a:off x="3785505" y="3124200"/>
          <a:ext cx="902286" cy="314324"/>
        </a:xfrm>
        <a:prstGeom prst="rect">
          <a:avLst/>
        </a:prstGeom>
      </xdr:spPr>
    </xdr:pic>
    <xdr:clientData/>
  </xdr:twoCellAnchor>
  <xdr:twoCellAnchor>
    <xdr:from>
      <xdr:col>8</xdr:col>
      <xdr:colOff>329293</xdr:colOff>
      <xdr:row>7</xdr:row>
      <xdr:rowOff>95250</xdr:rowOff>
    </xdr:from>
    <xdr:to>
      <xdr:col>12</xdr:col>
      <xdr:colOff>95250</xdr:colOff>
      <xdr:row>15</xdr:row>
      <xdr:rowOff>9525</xdr:rowOff>
    </xdr:to>
    <xdr:graphicFrame macro="">
      <xdr:nvGraphicFramePr>
        <xdr:cNvPr id="1072" name="Chart 1071">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485775</xdr:colOff>
      <xdr:row>14</xdr:row>
      <xdr:rowOff>80283</xdr:rowOff>
    </xdr:from>
    <xdr:to>
      <xdr:col>10</xdr:col>
      <xdr:colOff>19050</xdr:colOff>
      <xdr:row>15</xdr:row>
      <xdr:rowOff>156483</xdr:rowOff>
    </xdr:to>
    <xdr:sp macro="" textlink="">
      <xdr:nvSpPr>
        <xdr:cNvPr id="1078" name="Rectangle: Rounded Corners 1077">
          <a:extLst>
            <a:ext uri="{FF2B5EF4-FFF2-40B4-BE49-F238E27FC236}">
              <a16:creationId xmlns:a16="http://schemas.microsoft.com/office/drawing/2014/main" id="{00000000-0008-0000-0000-000036040000}"/>
            </a:ext>
          </a:extLst>
        </xdr:cNvPr>
        <xdr:cNvSpPr/>
      </xdr:nvSpPr>
      <xdr:spPr>
        <a:xfrm>
          <a:off x="5362575" y="2747283"/>
          <a:ext cx="752475" cy="2667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200" baseline="0">
              <a:solidFill>
                <a:schemeClr val="bg1"/>
              </a:solidFill>
            </a:rPr>
            <a:t>Analyst</a:t>
          </a:r>
        </a:p>
        <a:p>
          <a:endParaRPr lang="en-US" sz="800">
            <a:solidFill>
              <a:schemeClr val="bg1"/>
            </a:solidFill>
          </a:endParaRPr>
        </a:p>
      </xdr:txBody>
    </xdr:sp>
    <xdr:clientData/>
  </xdr:twoCellAnchor>
  <xdr:twoCellAnchor>
    <xdr:from>
      <xdr:col>9</xdr:col>
      <xdr:colOff>533399</xdr:colOff>
      <xdr:row>14</xdr:row>
      <xdr:rowOff>104774</xdr:rowOff>
    </xdr:from>
    <xdr:to>
      <xdr:col>11</xdr:col>
      <xdr:colOff>142874</xdr:colOff>
      <xdr:row>15</xdr:row>
      <xdr:rowOff>166007</xdr:rowOff>
    </xdr:to>
    <xdr:sp macro="" textlink="">
      <xdr:nvSpPr>
        <xdr:cNvPr id="1079" name="Rectangle: Rounded Corners 1078">
          <a:extLst>
            <a:ext uri="{FF2B5EF4-FFF2-40B4-BE49-F238E27FC236}">
              <a16:creationId xmlns:a16="http://schemas.microsoft.com/office/drawing/2014/main" id="{00000000-0008-0000-0000-000037040000}"/>
            </a:ext>
          </a:extLst>
        </xdr:cNvPr>
        <xdr:cNvSpPr/>
      </xdr:nvSpPr>
      <xdr:spPr>
        <a:xfrm>
          <a:off x="6019799" y="2771774"/>
          <a:ext cx="828675" cy="2517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200" baseline="0">
              <a:solidFill>
                <a:schemeClr val="bg1"/>
              </a:solidFill>
            </a:rPr>
            <a:t>Designer</a:t>
          </a:r>
        </a:p>
        <a:p>
          <a:endParaRPr lang="en-US" sz="800">
            <a:solidFill>
              <a:schemeClr val="bg1"/>
            </a:solidFill>
          </a:endParaRPr>
        </a:p>
      </xdr:txBody>
    </xdr:sp>
    <xdr:clientData/>
  </xdr:twoCellAnchor>
  <xdr:twoCellAnchor>
    <xdr:from>
      <xdr:col>11</xdr:col>
      <xdr:colOff>85725</xdr:colOff>
      <xdr:row>14</xdr:row>
      <xdr:rowOff>89808</xdr:rowOff>
    </xdr:from>
    <xdr:to>
      <xdr:col>12</xdr:col>
      <xdr:colOff>333375</xdr:colOff>
      <xdr:row>15</xdr:row>
      <xdr:rowOff>166008</xdr:rowOff>
    </xdr:to>
    <xdr:sp macro="" textlink="">
      <xdr:nvSpPr>
        <xdr:cNvPr id="1080" name="Rectangle: Rounded Corners 1079">
          <a:extLst>
            <a:ext uri="{FF2B5EF4-FFF2-40B4-BE49-F238E27FC236}">
              <a16:creationId xmlns:a16="http://schemas.microsoft.com/office/drawing/2014/main" id="{00000000-0008-0000-0000-000038040000}"/>
            </a:ext>
          </a:extLst>
        </xdr:cNvPr>
        <xdr:cNvSpPr/>
      </xdr:nvSpPr>
      <xdr:spPr>
        <a:xfrm>
          <a:off x="6791325" y="2756808"/>
          <a:ext cx="857250" cy="2667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200" baseline="0">
              <a:solidFill>
                <a:schemeClr val="bg1"/>
              </a:solidFill>
            </a:rPr>
            <a:t>Developer</a:t>
          </a:r>
        </a:p>
        <a:p>
          <a:endParaRPr lang="en-US" sz="800">
            <a:solidFill>
              <a:schemeClr val="bg1"/>
            </a:solidFill>
          </a:endParaRPr>
        </a:p>
      </xdr:txBody>
    </xdr:sp>
    <xdr:clientData/>
  </xdr:twoCellAnchor>
  <xdr:twoCellAnchor>
    <xdr:from>
      <xdr:col>10</xdr:col>
      <xdr:colOff>561975</xdr:colOff>
      <xdr:row>15</xdr:row>
      <xdr:rowOff>104776</xdr:rowOff>
    </xdr:from>
    <xdr:to>
      <xdr:col>12</xdr:col>
      <xdr:colOff>180975</xdr:colOff>
      <xdr:row>16</xdr:row>
      <xdr:rowOff>142876</xdr:rowOff>
    </xdr:to>
    <xdr:sp macro="" textlink="">
      <xdr:nvSpPr>
        <xdr:cNvPr id="1081" name="Rectangle: Rounded Corners 1080">
          <a:extLst>
            <a:ext uri="{FF2B5EF4-FFF2-40B4-BE49-F238E27FC236}">
              <a16:creationId xmlns:a16="http://schemas.microsoft.com/office/drawing/2014/main" id="{00000000-0008-0000-0000-000039040000}"/>
            </a:ext>
          </a:extLst>
        </xdr:cNvPr>
        <xdr:cNvSpPr/>
      </xdr:nvSpPr>
      <xdr:spPr>
        <a:xfrm>
          <a:off x="6657975" y="2962276"/>
          <a:ext cx="838200" cy="228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200" baseline="0">
              <a:solidFill>
                <a:schemeClr val="bg1"/>
              </a:solidFill>
            </a:rPr>
            <a:t>Manager</a:t>
          </a:r>
        </a:p>
        <a:p>
          <a:endParaRPr lang="en-US" sz="800">
            <a:solidFill>
              <a:schemeClr val="bg1"/>
            </a:solidFill>
          </a:endParaRPr>
        </a:p>
      </xdr:txBody>
    </xdr:sp>
    <xdr:clientData/>
  </xdr:twoCellAnchor>
  <xdr:twoCellAnchor>
    <xdr:from>
      <xdr:col>9</xdr:col>
      <xdr:colOff>104775</xdr:colOff>
      <xdr:row>15</xdr:row>
      <xdr:rowOff>108859</xdr:rowOff>
    </xdr:from>
    <xdr:to>
      <xdr:col>10</xdr:col>
      <xdr:colOff>504825</xdr:colOff>
      <xdr:row>16</xdr:row>
      <xdr:rowOff>95251</xdr:rowOff>
    </xdr:to>
    <xdr:sp macro="" textlink="">
      <xdr:nvSpPr>
        <xdr:cNvPr id="1082" name="Rectangle: Rounded Corners 1081">
          <a:extLst>
            <a:ext uri="{FF2B5EF4-FFF2-40B4-BE49-F238E27FC236}">
              <a16:creationId xmlns:a16="http://schemas.microsoft.com/office/drawing/2014/main" id="{00000000-0008-0000-0000-00003A040000}"/>
            </a:ext>
          </a:extLst>
        </xdr:cNvPr>
        <xdr:cNvSpPr/>
      </xdr:nvSpPr>
      <xdr:spPr>
        <a:xfrm>
          <a:off x="5591175" y="2966359"/>
          <a:ext cx="1009650" cy="17689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200" baseline="0">
              <a:solidFill>
                <a:schemeClr val="bg1"/>
              </a:solidFill>
            </a:rPr>
            <a:t>HR Specialist</a:t>
          </a:r>
        </a:p>
        <a:p>
          <a:endParaRPr lang="en-US" sz="800">
            <a:solidFill>
              <a:schemeClr val="bg1"/>
            </a:solidFill>
          </a:endParaRPr>
        </a:p>
      </xdr:txBody>
    </xdr:sp>
    <xdr:clientData/>
  </xdr:twoCellAnchor>
  <xdr:twoCellAnchor>
    <xdr:from>
      <xdr:col>9</xdr:col>
      <xdr:colOff>476250</xdr:colOff>
      <xdr:row>14</xdr:row>
      <xdr:rowOff>180974</xdr:rowOff>
    </xdr:from>
    <xdr:to>
      <xdr:col>10</xdr:col>
      <xdr:colOff>0</xdr:colOff>
      <xdr:row>15</xdr:row>
      <xdr:rowOff>133349</xdr:rowOff>
    </xdr:to>
    <xdr:sp macro="" textlink="">
      <xdr:nvSpPr>
        <xdr:cNvPr id="1097" name="Flowchart: Connector 1096">
          <a:extLst>
            <a:ext uri="{FF2B5EF4-FFF2-40B4-BE49-F238E27FC236}">
              <a16:creationId xmlns:a16="http://schemas.microsoft.com/office/drawing/2014/main" id="{00000000-0008-0000-0000-000049040000}"/>
            </a:ext>
          </a:extLst>
        </xdr:cNvPr>
        <xdr:cNvSpPr/>
      </xdr:nvSpPr>
      <xdr:spPr>
        <a:xfrm>
          <a:off x="5962650" y="2847974"/>
          <a:ext cx="133350" cy="142875"/>
        </a:xfrm>
        <a:prstGeom prst="flowChartConnector">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438150</xdr:colOff>
      <xdr:row>14</xdr:row>
      <xdr:rowOff>171449</xdr:rowOff>
    </xdr:from>
    <xdr:to>
      <xdr:col>8</xdr:col>
      <xdr:colOff>571500</xdr:colOff>
      <xdr:row>15</xdr:row>
      <xdr:rowOff>123824</xdr:rowOff>
    </xdr:to>
    <xdr:sp macro="" textlink="">
      <xdr:nvSpPr>
        <xdr:cNvPr id="1098" name="Flowchart: Connector 1097">
          <a:extLst>
            <a:ext uri="{FF2B5EF4-FFF2-40B4-BE49-F238E27FC236}">
              <a16:creationId xmlns:a16="http://schemas.microsoft.com/office/drawing/2014/main" id="{00000000-0008-0000-0000-00004A040000}"/>
            </a:ext>
          </a:extLst>
        </xdr:cNvPr>
        <xdr:cNvSpPr/>
      </xdr:nvSpPr>
      <xdr:spPr>
        <a:xfrm>
          <a:off x="5314950" y="2838449"/>
          <a:ext cx="133350" cy="142875"/>
        </a:xfrm>
        <a:prstGeom prst="flowChartConnector">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9525</xdr:colOff>
      <xdr:row>14</xdr:row>
      <xdr:rowOff>171449</xdr:rowOff>
    </xdr:from>
    <xdr:to>
      <xdr:col>11</xdr:col>
      <xdr:colOff>142875</xdr:colOff>
      <xdr:row>15</xdr:row>
      <xdr:rowOff>123824</xdr:rowOff>
    </xdr:to>
    <xdr:sp macro="" textlink="">
      <xdr:nvSpPr>
        <xdr:cNvPr id="1099" name="Flowchart: Connector 1098">
          <a:extLst>
            <a:ext uri="{FF2B5EF4-FFF2-40B4-BE49-F238E27FC236}">
              <a16:creationId xmlns:a16="http://schemas.microsoft.com/office/drawing/2014/main" id="{00000000-0008-0000-0000-00004B040000}"/>
            </a:ext>
          </a:extLst>
        </xdr:cNvPr>
        <xdr:cNvSpPr/>
      </xdr:nvSpPr>
      <xdr:spPr>
        <a:xfrm>
          <a:off x="6715125" y="2838449"/>
          <a:ext cx="133350" cy="142875"/>
        </a:xfrm>
        <a:prstGeom prst="flowChartConnector">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504825</xdr:colOff>
      <xdr:row>15</xdr:row>
      <xdr:rowOff>180974</xdr:rowOff>
    </xdr:from>
    <xdr:to>
      <xdr:col>11</xdr:col>
      <xdr:colOff>28575</xdr:colOff>
      <xdr:row>16</xdr:row>
      <xdr:rowOff>133349</xdr:rowOff>
    </xdr:to>
    <xdr:sp macro="" textlink="">
      <xdr:nvSpPr>
        <xdr:cNvPr id="1100" name="Flowchart: Connector 1099">
          <a:extLst>
            <a:ext uri="{FF2B5EF4-FFF2-40B4-BE49-F238E27FC236}">
              <a16:creationId xmlns:a16="http://schemas.microsoft.com/office/drawing/2014/main" id="{00000000-0008-0000-0000-00004C040000}"/>
            </a:ext>
          </a:extLst>
        </xdr:cNvPr>
        <xdr:cNvSpPr/>
      </xdr:nvSpPr>
      <xdr:spPr>
        <a:xfrm>
          <a:off x="6600825" y="3038474"/>
          <a:ext cx="133350" cy="142875"/>
        </a:xfrm>
        <a:prstGeom prst="flowChartConnector">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38100</xdr:colOff>
      <xdr:row>15</xdr:row>
      <xdr:rowOff>180974</xdr:rowOff>
    </xdr:from>
    <xdr:to>
      <xdr:col>9</xdr:col>
      <xdr:colOff>171450</xdr:colOff>
      <xdr:row>16</xdr:row>
      <xdr:rowOff>133349</xdr:rowOff>
    </xdr:to>
    <xdr:sp macro="" textlink="">
      <xdr:nvSpPr>
        <xdr:cNvPr id="1101" name="Flowchart: Connector 1100">
          <a:extLst>
            <a:ext uri="{FF2B5EF4-FFF2-40B4-BE49-F238E27FC236}">
              <a16:creationId xmlns:a16="http://schemas.microsoft.com/office/drawing/2014/main" id="{00000000-0008-0000-0000-00004D040000}"/>
            </a:ext>
          </a:extLst>
        </xdr:cNvPr>
        <xdr:cNvSpPr/>
      </xdr:nvSpPr>
      <xdr:spPr>
        <a:xfrm>
          <a:off x="5524500" y="3038474"/>
          <a:ext cx="133350" cy="142875"/>
        </a:xfrm>
        <a:prstGeom prst="flowChartConnector">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476250</xdr:colOff>
      <xdr:row>10</xdr:row>
      <xdr:rowOff>104775</xdr:rowOff>
    </xdr:from>
    <xdr:to>
      <xdr:col>9</xdr:col>
      <xdr:colOff>171450</xdr:colOff>
      <xdr:row>12</xdr:row>
      <xdr:rowOff>0</xdr:rowOff>
    </xdr:to>
    <xdr:sp macro="" textlink="'Pivot Table'!L40">
      <xdr:nvSpPr>
        <xdr:cNvPr id="1102" name="Text Box 4">
          <a:extLst>
            <a:ext uri="{FF2B5EF4-FFF2-40B4-BE49-F238E27FC236}">
              <a16:creationId xmlns:a16="http://schemas.microsoft.com/office/drawing/2014/main" id="{00000000-0008-0000-0000-00004E040000}"/>
            </a:ext>
          </a:extLst>
        </xdr:cNvPr>
        <xdr:cNvSpPr txBox="1">
          <a:spLocks noChangeArrowheads="1"/>
        </xdr:cNvSpPr>
      </xdr:nvSpPr>
      <xdr:spPr bwMode="auto">
        <a:xfrm>
          <a:off x="5353050" y="2009775"/>
          <a:ext cx="304800" cy="276225"/>
        </a:xfrm>
        <a:prstGeom prst="rect">
          <a:avLst/>
        </a:prstGeom>
        <a:noFill/>
        <a:ln w="9525">
          <a:noFill/>
          <a:miter lim="800000"/>
          <a:headEnd/>
          <a:tailEnd/>
        </a:ln>
      </xdr:spPr>
      <xdr:txBody>
        <a:bodyPr vertOverflow="clip" wrap="square" lIns="27432" tIns="18288" rIns="0" bIns="0" anchor="t" upright="1"/>
        <a:lstStyle/>
        <a:p>
          <a:pPr algn="l" rtl="0">
            <a:defRPr sz="1000"/>
          </a:pPr>
          <a:fld id="{C19399E0-DF22-488D-B010-2BEB26084DF5}" type="TxLink">
            <a:rPr lang="en-US" sz="1400" b="1" i="0" u="none" strike="noStrike" baseline="0">
              <a:solidFill>
                <a:schemeClr val="bg1"/>
              </a:solidFill>
              <a:latin typeface="Aptos Narrow"/>
            </a:rPr>
            <a:t>28</a:t>
          </a:fld>
          <a:endParaRPr lang="en-US" sz="1400" b="1" i="0" u="none" strike="noStrike" baseline="0">
            <a:solidFill>
              <a:schemeClr val="bg1"/>
            </a:solidFill>
            <a:latin typeface="Aptos Narrow"/>
          </a:endParaRPr>
        </a:p>
      </xdr:txBody>
    </xdr:sp>
    <xdr:clientData/>
  </xdr:twoCellAnchor>
  <xdr:twoCellAnchor>
    <xdr:from>
      <xdr:col>9</xdr:col>
      <xdr:colOff>276225</xdr:colOff>
      <xdr:row>7</xdr:row>
      <xdr:rowOff>76200</xdr:rowOff>
    </xdr:from>
    <xdr:to>
      <xdr:col>10</xdr:col>
      <xdr:colOff>85725</xdr:colOff>
      <xdr:row>8</xdr:row>
      <xdr:rowOff>161925</xdr:rowOff>
    </xdr:to>
    <xdr:sp macro="" textlink="'Pivot Table'!L41">
      <xdr:nvSpPr>
        <xdr:cNvPr id="1103" name="Text Box 4">
          <a:extLst>
            <a:ext uri="{FF2B5EF4-FFF2-40B4-BE49-F238E27FC236}">
              <a16:creationId xmlns:a16="http://schemas.microsoft.com/office/drawing/2014/main" id="{00000000-0008-0000-0000-00004F040000}"/>
            </a:ext>
          </a:extLst>
        </xdr:cNvPr>
        <xdr:cNvSpPr txBox="1">
          <a:spLocks noChangeArrowheads="1"/>
        </xdr:cNvSpPr>
      </xdr:nvSpPr>
      <xdr:spPr bwMode="auto">
        <a:xfrm>
          <a:off x="5762625" y="1409700"/>
          <a:ext cx="419100" cy="276225"/>
        </a:xfrm>
        <a:prstGeom prst="rect">
          <a:avLst/>
        </a:prstGeom>
        <a:noFill/>
        <a:ln w="9525">
          <a:noFill/>
          <a:miter lim="800000"/>
          <a:headEnd/>
          <a:tailEnd/>
        </a:ln>
      </xdr:spPr>
      <xdr:txBody>
        <a:bodyPr vertOverflow="clip" wrap="square" lIns="27432" tIns="18288" rIns="0" bIns="0" anchor="t" upright="1"/>
        <a:lstStyle/>
        <a:p>
          <a:pPr marL="0" indent="0" algn="l" rtl="0">
            <a:defRPr sz="1000"/>
          </a:pPr>
          <a:fld id="{C21BF679-EA9C-4CCE-92AE-4EA354061BCF}" type="TxLink">
            <a:rPr lang="en-US" sz="1400" b="1" i="0" u="none" strike="noStrike" baseline="0">
              <a:solidFill>
                <a:schemeClr val="bg1"/>
              </a:solidFill>
              <a:latin typeface="Aptos Narrow"/>
              <a:ea typeface="+mn-ea"/>
              <a:cs typeface="+mn-cs"/>
            </a:rPr>
            <a:t>110</a:t>
          </a:fld>
          <a:endParaRPr lang="en-US" sz="1400" b="1" i="0" u="none" strike="noStrike" baseline="0">
            <a:solidFill>
              <a:schemeClr val="bg1"/>
            </a:solidFill>
            <a:latin typeface="Aptos Narrow"/>
            <a:ea typeface="+mn-ea"/>
            <a:cs typeface="+mn-cs"/>
          </a:endParaRPr>
        </a:p>
      </xdr:txBody>
    </xdr:sp>
    <xdr:clientData/>
  </xdr:twoCellAnchor>
  <xdr:twoCellAnchor>
    <xdr:from>
      <xdr:col>10</xdr:col>
      <xdr:colOff>57150</xdr:colOff>
      <xdr:row>7</xdr:row>
      <xdr:rowOff>123825</xdr:rowOff>
    </xdr:from>
    <xdr:to>
      <xdr:col>10</xdr:col>
      <xdr:colOff>438150</xdr:colOff>
      <xdr:row>9</xdr:row>
      <xdr:rowOff>19050</xdr:rowOff>
    </xdr:to>
    <xdr:sp macro="" textlink="'Pivot Table'!L42">
      <xdr:nvSpPr>
        <xdr:cNvPr id="1104" name="Text Box 4">
          <a:extLst>
            <a:ext uri="{FF2B5EF4-FFF2-40B4-BE49-F238E27FC236}">
              <a16:creationId xmlns:a16="http://schemas.microsoft.com/office/drawing/2014/main" id="{00000000-0008-0000-0000-000050040000}"/>
            </a:ext>
          </a:extLst>
        </xdr:cNvPr>
        <xdr:cNvSpPr txBox="1">
          <a:spLocks noChangeArrowheads="1"/>
        </xdr:cNvSpPr>
      </xdr:nvSpPr>
      <xdr:spPr bwMode="auto">
        <a:xfrm>
          <a:off x="6153150" y="1457325"/>
          <a:ext cx="381000" cy="276225"/>
        </a:xfrm>
        <a:prstGeom prst="rect">
          <a:avLst/>
        </a:prstGeom>
        <a:noFill/>
        <a:ln w="9525">
          <a:noFill/>
          <a:miter lim="800000"/>
          <a:headEnd/>
          <a:tailEnd/>
        </a:ln>
      </xdr:spPr>
      <xdr:txBody>
        <a:bodyPr vertOverflow="clip" wrap="square" lIns="27432" tIns="18288" rIns="0" bIns="0" anchor="t" upright="1"/>
        <a:lstStyle/>
        <a:p>
          <a:pPr algn="l" rtl="0">
            <a:defRPr sz="1000"/>
          </a:pPr>
          <a:fld id="{4FF6EFD8-D7C8-4A07-93FA-55D8EAE2AE62}" type="TxLink">
            <a:rPr lang="en-US" sz="1400" b="1" i="0" u="none" strike="noStrike" baseline="0">
              <a:solidFill>
                <a:schemeClr val="bg1"/>
              </a:solidFill>
              <a:latin typeface="Aptos Narrow"/>
            </a:rPr>
            <a:t>104</a:t>
          </a:fld>
          <a:endParaRPr lang="en-US" sz="1400" b="1" i="0" u="none" strike="noStrike" baseline="0">
            <a:solidFill>
              <a:schemeClr val="bg1"/>
            </a:solidFill>
            <a:latin typeface="Aptos Narrow"/>
          </a:endParaRPr>
        </a:p>
      </xdr:txBody>
    </xdr:sp>
    <xdr:clientData/>
  </xdr:twoCellAnchor>
  <xdr:twoCellAnchor>
    <xdr:from>
      <xdr:col>10</xdr:col>
      <xdr:colOff>485775</xdr:colOff>
      <xdr:row>7</xdr:row>
      <xdr:rowOff>133350</xdr:rowOff>
    </xdr:from>
    <xdr:to>
      <xdr:col>11</xdr:col>
      <xdr:colOff>257175</xdr:colOff>
      <xdr:row>9</xdr:row>
      <xdr:rowOff>28575</xdr:rowOff>
    </xdr:to>
    <xdr:sp macro="" textlink="'Pivot Table'!L43">
      <xdr:nvSpPr>
        <xdr:cNvPr id="1105" name="Text Box 4">
          <a:extLst>
            <a:ext uri="{FF2B5EF4-FFF2-40B4-BE49-F238E27FC236}">
              <a16:creationId xmlns:a16="http://schemas.microsoft.com/office/drawing/2014/main" id="{00000000-0008-0000-0000-000051040000}"/>
            </a:ext>
          </a:extLst>
        </xdr:cNvPr>
        <xdr:cNvSpPr txBox="1">
          <a:spLocks noChangeArrowheads="1"/>
        </xdr:cNvSpPr>
      </xdr:nvSpPr>
      <xdr:spPr bwMode="auto">
        <a:xfrm>
          <a:off x="6581775" y="1466850"/>
          <a:ext cx="381000" cy="276225"/>
        </a:xfrm>
        <a:prstGeom prst="rect">
          <a:avLst/>
        </a:prstGeom>
        <a:noFill/>
        <a:ln w="9525">
          <a:noFill/>
          <a:miter lim="800000"/>
          <a:headEnd/>
          <a:tailEnd/>
        </a:ln>
      </xdr:spPr>
      <xdr:txBody>
        <a:bodyPr vertOverflow="clip" wrap="square" lIns="27432" tIns="18288" rIns="0" bIns="0" anchor="t" upright="1"/>
        <a:lstStyle/>
        <a:p>
          <a:pPr algn="l" rtl="0">
            <a:defRPr sz="1000"/>
          </a:pPr>
          <a:fld id="{4813515B-4A66-4934-89BB-F5BB8316571D}" type="TxLink">
            <a:rPr lang="en-US" sz="1400" b="1" i="0" u="none" strike="noStrike" baseline="0">
              <a:solidFill>
                <a:schemeClr val="bg1"/>
              </a:solidFill>
              <a:latin typeface="Aptos Narrow"/>
            </a:rPr>
            <a:t>123</a:t>
          </a:fld>
          <a:endParaRPr lang="en-US" sz="1400" b="1" i="0" u="none" strike="noStrike" baseline="0">
            <a:solidFill>
              <a:schemeClr val="bg1"/>
            </a:solidFill>
            <a:latin typeface="Aptos Narrow"/>
          </a:endParaRPr>
        </a:p>
      </xdr:txBody>
    </xdr:sp>
    <xdr:clientData/>
  </xdr:twoCellAnchor>
  <xdr:twoCellAnchor>
    <xdr:from>
      <xdr:col>11</xdr:col>
      <xdr:colOff>314325</xdr:colOff>
      <xdr:row>7</xdr:row>
      <xdr:rowOff>76200</xdr:rowOff>
    </xdr:from>
    <xdr:to>
      <xdr:col>12</xdr:col>
      <xdr:colOff>85725</xdr:colOff>
      <xdr:row>8</xdr:row>
      <xdr:rowOff>161925</xdr:rowOff>
    </xdr:to>
    <xdr:sp macro="" textlink="'Pivot Table'!L44">
      <xdr:nvSpPr>
        <xdr:cNvPr id="1106" name="Text Box 4">
          <a:extLst>
            <a:ext uri="{FF2B5EF4-FFF2-40B4-BE49-F238E27FC236}">
              <a16:creationId xmlns:a16="http://schemas.microsoft.com/office/drawing/2014/main" id="{00000000-0008-0000-0000-000052040000}"/>
            </a:ext>
          </a:extLst>
        </xdr:cNvPr>
        <xdr:cNvSpPr txBox="1">
          <a:spLocks noChangeArrowheads="1"/>
        </xdr:cNvSpPr>
      </xdr:nvSpPr>
      <xdr:spPr bwMode="auto">
        <a:xfrm>
          <a:off x="7019925" y="1409700"/>
          <a:ext cx="381000" cy="276225"/>
        </a:xfrm>
        <a:prstGeom prst="rect">
          <a:avLst/>
        </a:prstGeom>
        <a:noFill/>
        <a:ln w="9525">
          <a:noFill/>
          <a:miter lim="800000"/>
          <a:headEnd/>
          <a:tailEnd/>
        </a:ln>
      </xdr:spPr>
      <xdr:txBody>
        <a:bodyPr vertOverflow="clip" wrap="square" lIns="27432" tIns="18288" rIns="0" bIns="0" anchor="t" upright="1"/>
        <a:lstStyle/>
        <a:p>
          <a:pPr algn="l" rtl="0">
            <a:defRPr sz="1000"/>
          </a:pPr>
          <a:fld id="{8C1C8DD0-C1CB-4A2E-8C00-9F8BAFC1B281}" type="TxLink">
            <a:rPr lang="en-US" sz="1400" b="1" i="0" u="none" strike="noStrike" baseline="0">
              <a:solidFill>
                <a:schemeClr val="bg1"/>
              </a:solidFill>
              <a:latin typeface="Aptos Narrow"/>
            </a:rPr>
            <a:t>122</a:t>
          </a:fld>
          <a:endParaRPr lang="en-US" sz="1400" b="1" i="0" u="none" strike="noStrike" baseline="0">
            <a:solidFill>
              <a:schemeClr val="bg1"/>
            </a:solidFill>
            <a:latin typeface="Aptos Narrow"/>
          </a:endParaRPr>
        </a:p>
      </xdr:txBody>
    </xdr:sp>
    <xdr:clientData/>
  </xdr:twoCellAnchor>
  <xdr:twoCellAnchor>
    <xdr:from>
      <xdr:col>8</xdr:col>
      <xdr:colOff>590550</xdr:colOff>
      <xdr:row>5</xdr:row>
      <xdr:rowOff>85724</xdr:rowOff>
    </xdr:from>
    <xdr:to>
      <xdr:col>11</xdr:col>
      <xdr:colOff>383722</xdr:colOff>
      <xdr:row>7</xdr:row>
      <xdr:rowOff>108855</xdr:rowOff>
    </xdr:to>
    <xdr:sp macro="" textlink="">
      <xdr:nvSpPr>
        <xdr:cNvPr id="1110" name="Text Box 4">
          <a:extLst>
            <a:ext uri="{FF2B5EF4-FFF2-40B4-BE49-F238E27FC236}">
              <a16:creationId xmlns:a16="http://schemas.microsoft.com/office/drawing/2014/main" id="{00000000-0008-0000-0000-000056040000}"/>
            </a:ext>
          </a:extLst>
        </xdr:cNvPr>
        <xdr:cNvSpPr txBox="1">
          <a:spLocks noChangeArrowheads="1"/>
        </xdr:cNvSpPr>
      </xdr:nvSpPr>
      <xdr:spPr bwMode="auto">
        <a:xfrm>
          <a:off x="5467350" y="1038224"/>
          <a:ext cx="1621972" cy="404131"/>
        </a:xfrm>
        <a:prstGeom prst="rect">
          <a:avLst/>
        </a:prstGeom>
        <a:noFill/>
        <a:ln w="9525">
          <a:noFill/>
          <a:miter lim="800000"/>
          <a:headEnd/>
          <a:tailEnd/>
        </a:ln>
      </xdr:spPr>
      <xdr:txBody>
        <a:bodyPr vertOverflow="clip" wrap="square" lIns="27432" tIns="18288" rIns="0" bIns="0" anchor="t" upright="1"/>
        <a:lstStyle/>
        <a:p>
          <a:pPr algn="l" rtl="0">
            <a:defRPr sz="1000"/>
          </a:pPr>
          <a:r>
            <a:rPr lang="en-IN" sz="1100" b="0" i="0" u="none" strike="noStrike" baseline="0">
              <a:solidFill>
                <a:srgbClr val="FFFF00"/>
              </a:solidFill>
              <a:latin typeface="Aptos Narrow"/>
            </a:rPr>
            <a:t>Leave Tracking</a:t>
          </a:r>
        </a:p>
        <a:p>
          <a:pPr algn="l" rtl="0">
            <a:defRPr sz="1000"/>
          </a:pPr>
          <a:r>
            <a:rPr lang="en-IN" sz="800" b="0" i="0" u="none" strike="noStrike" baseline="0">
              <a:solidFill>
                <a:schemeClr val="bg2">
                  <a:lumMod val="90000"/>
                </a:schemeClr>
              </a:solidFill>
              <a:latin typeface="Aptos Narrow"/>
            </a:rPr>
            <a:t>Leaves taken  by job titles</a:t>
          </a:r>
        </a:p>
      </xdr:txBody>
    </xdr:sp>
    <xdr:clientData/>
  </xdr:twoCellAnchor>
  <xdr:twoCellAnchor>
    <xdr:from>
      <xdr:col>12</xdr:col>
      <xdr:colOff>495301</xdr:colOff>
      <xdr:row>12</xdr:row>
      <xdr:rowOff>104775</xdr:rowOff>
    </xdr:from>
    <xdr:to>
      <xdr:col>14</xdr:col>
      <xdr:colOff>293913</xdr:colOff>
      <xdr:row>14</xdr:row>
      <xdr:rowOff>9524</xdr:rowOff>
    </xdr:to>
    <xdr:sp macro="" textlink="">
      <xdr:nvSpPr>
        <xdr:cNvPr id="1125" name="Rectangle: Rounded Corners 1124">
          <a:extLst>
            <a:ext uri="{FF2B5EF4-FFF2-40B4-BE49-F238E27FC236}">
              <a16:creationId xmlns:a16="http://schemas.microsoft.com/office/drawing/2014/main" id="{00000000-0008-0000-0000-000065040000}"/>
            </a:ext>
          </a:extLst>
        </xdr:cNvPr>
        <xdr:cNvSpPr/>
      </xdr:nvSpPr>
      <xdr:spPr>
        <a:xfrm>
          <a:off x="7810501" y="2390775"/>
          <a:ext cx="1017812" cy="2857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200" baseline="0">
              <a:solidFill>
                <a:schemeClr val="bg1"/>
              </a:solidFill>
            </a:rPr>
            <a:t>Central</a:t>
          </a:r>
        </a:p>
        <a:p>
          <a:endParaRPr lang="en-US" sz="800">
            <a:solidFill>
              <a:schemeClr val="bg1"/>
            </a:solidFill>
          </a:endParaRPr>
        </a:p>
      </xdr:txBody>
    </xdr:sp>
    <xdr:clientData/>
  </xdr:twoCellAnchor>
  <xdr:twoCellAnchor>
    <xdr:from>
      <xdr:col>12</xdr:col>
      <xdr:colOff>503462</xdr:colOff>
      <xdr:row>13</xdr:row>
      <xdr:rowOff>142875</xdr:rowOff>
    </xdr:from>
    <xdr:to>
      <xdr:col>14</xdr:col>
      <xdr:colOff>141512</xdr:colOff>
      <xdr:row>15</xdr:row>
      <xdr:rowOff>19049</xdr:rowOff>
    </xdr:to>
    <xdr:sp macro="" textlink="">
      <xdr:nvSpPr>
        <xdr:cNvPr id="1127" name="Rectangle: Rounded Corners 1126">
          <a:extLst>
            <a:ext uri="{FF2B5EF4-FFF2-40B4-BE49-F238E27FC236}">
              <a16:creationId xmlns:a16="http://schemas.microsoft.com/office/drawing/2014/main" id="{00000000-0008-0000-0000-000067040000}"/>
            </a:ext>
          </a:extLst>
        </xdr:cNvPr>
        <xdr:cNvSpPr/>
      </xdr:nvSpPr>
      <xdr:spPr>
        <a:xfrm>
          <a:off x="7818662" y="2619375"/>
          <a:ext cx="857250" cy="25717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200" baseline="0">
              <a:solidFill>
                <a:schemeClr val="bg1"/>
              </a:solidFill>
            </a:rPr>
            <a:t>East</a:t>
          </a:r>
        </a:p>
        <a:p>
          <a:endParaRPr lang="en-US" sz="800">
            <a:solidFill>
              <a:schemeClr val="bg1"/>
            </a:solidFill>
          </a:endParaRPr>
        </a:p>
      </xdr:txBody>
    </xdr:sp>
    <xdr:clientData/>
  </xdr:twoCellAnchor>
  <xdr:twoCellAnchor>
    <xdr:from>
      <xdr:col>12</xdr:col>
      <xdr:colOff>493937</xdr:colOff>
      <xdr:row>14</xdr:row>
      <xdr:rowOff>161925</xdr:rowOff>
    </xdr:from>
    <xdr:to>
      <xdr:col>14</xdr:col>
      <xdr:colOff>131987</xdr:colOff>
      <xdr:row>16</xdr:row>
      <xdr:rowOff>38100</xdr:rowOff>
    </xdr:to>
    <xdr:sp macro="" textlink="">
      <xdr:nvSpPr>
        <xdr:cNvPr id="1129" name="Rectangle: Rounded Corners 1128">
          <a:extLst>
            <a:ext uri="{FF2B5EF4-FFF2-40B4-BE49-F238E27FC236}">
              <a16:creationId xmlns:a16="http://schemas.microsoft.com/office/drawing/2014/main" id="{00000000-0008-0000-0000-000069040000}"/>
            </a:ext>
          </a:extLst>
        </xdr:cNvPr>
        <xdr:cNvSpPr/>
      </xdr:nvSpPr>
      <xdr:spPr>
        <a:xfrm>
          <a:off x="7809137" y="2828925"/>
          <a:ext cx="857250" cy="2571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200" baseline="0">
              <a:solidFill>
                <a:schemeClr val="bg1"/>
              </a:solidFill>
            </a:rPr>
            <a:t>West</a:t>
          </a:r>
        </a:p>
        <a:p>
          <a:endParaRPr lang="en-US" sz="800">
            <a:solidFill>
              <a:schemeClr val="bg1"/>
            </a:solidFill>
          </a:endParaRPr>
        </a:p>
      </xdr:txBody>
    </xdr:sp>
    <xdr:clientData/>
  </xdr:twoCellAnchor>
  <xdr:twoCellAnchor>
    <xdr:from>
      <xdr:col>12</xdr:col>
      <xdr:colOff>512987</xdr:colOff>
      <xdr:row>15</xdr:row>
      <xdr:rowOff>180974</xdr:rowOff>
    </xdr:from>
    <xdr:to>
      <xdr:col>14</xdr:col>
      <xdr:colOff>151037</xdr:colOff>
      <xdr:row>17</xdr:row>
      <xdr:rowOff>38099</xdr:rowOff>
    </xdr:to>
    <xdr:sp macro="" textlink="">
      <xdr:nvSpPr>
        <xdr:cNvPr id="1131" name="Rectangle: Rounded Corners 1130">
          <a:extLst>
            <a:ext uri="{FF2B5EF4-FFF2-40B4-BE49-F238E27FC236}">
              <a16:creationId xmlns:a16="http://schemas.microsoft.com/office/drawing/2014/main" id="{00000000-0008-0000-0000-00006B040000}"/>
            </a:ext>
          </a:extLst>
        </xdr:cNvPr>
        <xdr:cNvSpPr/>
      </xdr:nvSpPr>
      <xdr:spPr>
        <a:xfrm>
          <a:off x="7828187" y="3038474"/>
          <a:ext cx="857250" cy="2381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200" baseline="0">
              <a:solidFill>
                <a:schemeClr val="bg1"/>
              </a:solidFill>
            </a:rPr>
            <a:t>South</a:t>
          </a:r>
        </a:p>
        <a:p>
          <a:endParaRPr lang="en-US" sz="800">
            <a:solidFill>
              <a:schemeClr val="bg1"/>
            </a:solidFill>
          </a:endParaRPr>
        </a:p>
      </xdr:txBody>
    </xdr:sp>
    <xdr:clientData/>
  </xdr:twoCellAnchor>
  <xdr:twoCellAnchor>
    <xdr:from>
      <xdr:col>12</xdr:col>
      <xdr:colOff>514350</xdr:colOff>
      <xdr:row>17</xdr:row>
      <xdr:rowOff>28575</xdr:rowOff>
    </xdr:from>
    <xdr:to>
      <xdr:col>14</xdr:col>
      <xdr:colOff>180975</xdr:colOff>
      <xdr:row>18</xdr:row>
      <xdr:rowOff>104775</xdr:rowOff>
    </xdr:to>
    <xdr:sp macro="" textlink="">
      <xdr:nvSpPr>
        <xdr:cNvPr id="1133" name="Rectangle: Rounded Corners 1132">
          <a:extLst>
            <a:ext uri="{FF2B5EF4-FFF2-40B4-BE49-F238E27FC236}">
              <a16:creationId xmlns:a16="http://schemas.microsoft.com/office/drawing/2014/main" id="{00000000-0008-0000-0000-00006D040000}"/>
            </a:ext>
          </a:extLst>
        </xdr:cNvPr>
        <xdr:cNvSpPr/>
      </xdr:nvSpPr>
      <xdr:spPr>
        <a:xfrm>
          <a:off x="7829550" y="3267075"/>
          <a:ext cx="885825" cy="2667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200" baseline="0">
              <a:solidFill>
                <a:schemeClr val="bg1"/>
              </a:solidFill>
            </a:rPr>
            <a:t>North</a:t>
          </a:r>
        </a:p>
        <a:p>
          <a:endParaRPr lang="en-US" sz="800">
            <a:solidFill>
              <a:schemeClr val="bg1"/>
            </a:solidFill>
          </a:endParaRPr>
        </a:p>
      </xdr:txBody>
    </xdr:sp>
    <xdr:clientData/>
  </xdr:twoCellAnchor>
  <xdr:twoCellAnchor>
    <xdr:from>
      <xdr:col>12</xdr:col>
      <xdr:colOff>466725</xdr:colOff>
      <xdr:row>10</xdr:row>
      <xdr:rowOff>99333</xdr:rowOff>
    </xdr:from>
    <xdr:to>
      <xdr:col>15</xdr:col>
      <xdr:colOff>291191</xdr:colOff>
      <xdr:row>12</xdr:row>
      <xdr:rowOff>47625</xdr:rowOff>
    </xdr:to>
    <xdr:sp macro="" textlink="">
      <xdr:nvSpPr>
        <xdr:cNvPr id="1134" name="Text Box 4">
          <a:extLst>
            <a:ext uri="{FF2B5EF4-FFF2-40B4-BE49-F238E27FC236}">
              <a16:creationId xmlns:a16="http://schemas.microsoft.com/office/drawing/2014/main" id="{00000000-0008-0000-0000-00006E040000}"/>
            </a:ext>
          </a:extLst>
        </xdr:cNvPr>
        <xdr:cNvSpPr txBox="1">
          <a:spLocks noChangeArrowheads="1"/>
        </xdr:cNvSpPr>
      </xdr:nvSpPr>
      <xdr:spPr bwMode="auto">
        <a:xfrm>
          <a:off x="7781925" y="2004333"/>
          <a:ext cx="1796141" cy="329292"/>
        </a:xfrm>
        <a:prstGeom prst="rect">
          <a:avLst/>
        </a:prstGeom>
        <a:noFill/>
        <a:ln w="9525">
          <a:noFill/>
          <a:miter lim="800000"/>
          <a:headEnd/>
          <a:tailEnd/>
        </a:ln>
      </xdr:spPr>
      <xdr:txBody>
        <a:bodyPr vertOverflow="clip" wrap="square" lIns="27432" tIns="18288" rIns="0" bIns="0" anchor="t" upright="1"/>
        <a:lstStyle/>
        <a:p>
          <a:pPr algn="l" rtl="0">
            <a:defRPr sz="1000"/>
          </a:pPr>
          <a:r>
            <a:rPr lang="en-IN" sz="1100" b="0" i="0" u="none" strike="noStrike" baseline="0">
              <a:solidFill>
                <a:srgbClr val="FFFF00"/>
              </a:solidFill>
              <a:latin typeface="Aptos Narrow"/>
            </a:rPr>
            <a:t>Regions</a:t>
          </a:r>
        </a:p>
        <a:p>
          <a:pPr algn="l" rtl="0">
            <a:defRPr sz="1000"/>
          </a:pPr>
          <a:r>
            <a:rPr lang="en-IN" sz="800" b="0" i="0" u="none" strike="noStrike" baseline="0">
              <a:solidFill>
                <a:schemeClr val="bg2">
                  <a:lumMod val="90000"/>
                </a:schemeClr>
              </a:solidFill>
              <a:latin typeface="Aptos Narrow"/>
            </a:rPr>
            <a:t>Employees  by  regions</a:t>
          </a:r>
        </a:p>
      </xdr:txBody>
    </xdr:sp>
    <xdr:clientData/>
  </xdr:twoCellAnchor>
  <xdr:twoCellAnchor>
    <xdr:from>
      <xdr:col>14</xdr:col>
      <xdr:colOff>447675</xdr:colOff>
      <xdr:row>12</xdr:row>
      <xdr:rowOff>85725</xdr:rowOff>
    </xdr:from>
    <xdr:to>
      <xdr:col>15</xdr:col>
      <xdr:colOff>209550</xdr:colOff>
      <xdr:row>13</xdr:row>
      <xdr:rowOff>114301</xdr:rowOff>
    </xdr:to>
    <xdr:sp macro="" textlink="'Pivot Table'!B19">
      <xdr:nvSpPr>
        <xdr:cNvPr id="1137" name="Text Box 4">
          <a:extLst>
            <a:ext uri="{FF2B5EF4-FFF2-40B4-BE49-F238E27FC236}">
              <a16:creationId xmlns:a16="http://schemas.microsoft.com/office/drawing/2014/main" id="{00000000-0008-0000-0000-000071040000}"/>
            </a:ext>
          </a:extLst>
        </xdr:cNvPr>
        <xdr:cNvSpPr txBox="1">
          <a:spLocks noChangeArrowheads="1"/>
        </xdr:cNvSpPr>
      </xdr:nvSpPr>
      <xdr:spPr bwMode="auto">
        <a:xfrm>
          <a:off x="8982075" y="2371725"/>
          <a:ext cx="514350" cy="219076"/>
        </a:xfrm>
        <a:prstGeom prst="rect">
          <a:avLst/>
        </a:prstGeom>
        <a:noFill/>
        <a:ln w="9525">
          <a:noFill/>
          <a:miter lim="800000"/>
          <a:headEnd/>
          <a:tailEnd/>
        </a:ln>
      </xdr:spPr>
      <xdr:txBody>
        <a:bodyPr vertOverflow="clip" wrap="square" lIns="27432" tIns="18288" rIns="0" bIns="0" anchor="t" upright="1"/>
        <a:lstStyle/>
        <a:p>
          <a:pPr algn="l" rtl="0">
            <a:defRPr sz="1000"/>
          </a:pPr>
          <a:fld id="{B8355886-08FC-4CCA-B736-8A0672A526A1}" type="TxLink">
            <a:rPr lang="en-US" sz="1600" b="1" i="0" u="none" strike="noStrike" baseline="0">
              <a:solidFill>
                <a:schemeClr val="bg1"/>
              </a:solidFill>
              <a:latin typeface="Aptos Narrow"/>
            </a:rPr>
            <a:t>14</a:t>
          </a:fld>
          <a:endParaRPr lang="en-US" sz="1600" b="1" i="0" u="none" strike="noStrike" baseline="0">
            <a:solidFill>
              <a:schemeClr val="bg1"/>
            </a:solidFill>
            <a:latin typeface="Aptos Narrow"/>
          </a:endParaRPr>
        </a:p>
      </xdr:txBody>
    </xdr:sp>
    <xdr:clientData/>
  </xdr:twoCellAnchor>
  <xdr:twoCellAnchor>
    <xdr:from>
      <xdr:col>14</xdr:col>
      <xdr:colOff>428625</xdr:colOff>
      <xdr:row>13</xdr:row>
      <xdr:rowOff>123826</xdr:rowOff>
    </xdr:from>
    <xdr:to>
      <xdr:col>15</xdr:col>
      <xdr:colOff>57150</xdr:colOff>
      <xdr:row>14</xdr:row>
      <xdr:rowOff>161926</xdr:rowOff>
    </xdr:to>
    <xdr:sp macro="" textlink="'Pivot Table'!B20">
      <xdr:nvSpPr>
        <xdr:cNvPr id="1138" name="Text Box 4">
          <a:extLst>
            <a:ext uri="{FF2B5EF4-FFF2-40B4-BE49-F238E27FC236}">
              <a16:creationId xmlns:a16="http://schemas.microsoft.com/office/drawing/2014/main" id="{00000000-0008-0000-0000-000072040000}"/>
            </a:ext>
          </a:extLst>
        </xdr:cNvPr>
        <xdr:cNvSpPr txBox="1">
          <a:spLocks noChangeArrowheads="1"/>
        </xdr:cNvSpPr>
      </xdr:nvSpPr>
      <xdr:spPr bwMode="auto">
        <a:xfrm>
          <a:off x="8963025" y="2600326"/>
          <a:ext cx="381000" cy="228600"/>
        </a:xfrm>
        <a:prstGeom prst="rect">
          <a:avLst/>
        </a:prstGeom>
        <a:noFill/>
        <a:ln w="9525">
          <a:noFill/>
          <a:miter lim="800000"/>
          <a:headEnd/>
          <a:tailEnd/>
        </a:ln>
      </xdr:spPr>
      <xdr:txBody>
        <a:bodyPr vertOverflow="clip" wrap="square" lIns="27432" tIns="18288" rIns="0" bIns="0" anchor="t" upright="1"/>
        <a:lstStyle/>
        <a:p>
          <a:pPr algn="l" rtl="0">
            <a:defRPr sz="1000"/>
          </a:pPr>
          <a:fld id="{F1C0824A-D03B-40F8-AACC-FA3394E63BA4}" type="TxLink">
            <a:rPr lang="en-US" sz="1600" b="1" i="0" u="none" strike="noStrike" baseline="0">
              <a:solidFill>
                <a:schemeClr val="bg1"/>
              </a:solidFill>
              <a:latin typeface="Aptos Narrow"/>
            </a:rPr>
            <a:t>10</a:t>
          </a:fld>
          <a:endParaRPr lang="en-US" sz="1600" b="1" i="0" u="none" strike="noStrike" baseline="0">
            <a:solidFill>
              <a:schemeClr val="bg1"/>
            </a:solidFill>
            <a:latin typeface="Aptos Narrow"/>
          </a:endParaRPr>
        </a:p>
      </xdr:txBody>
    </xdr:sp>
    <xdr:clientData/>
  </xdr:twoCellAnchor>
  <xdr:twoCellAnchor>
    <xdr:from>
      <xdr:col>14</xdr:col>
      <xdr:colOff>428625</xdr:colOff>
      <xdr:row>15</xdr:row>
      <xdr:rowOff>1</xdr:rowOff>
    </xdr:from>
    <xdr:to>
      <xdr:col>15</xdr:col>
      <xdr:colOff>57150</xdr:colOff>
      <xdr:row>16</xdr:row>
      <xdr:rowOff>38101</xdr:rowOff>
    </xdr:to>
    <xdr:sp macro="" textlink="'Pivot Table'!B23">
      <xdr:nvSpPr>
        <xdr:cNvPr id="1139" name="Text Box 4">
          <a:extLst>
            <a:ext uri="{FF2B5EF4-FFF2-40B4-BE49-F238E27FC236}">
              <a16:creationId xmlns:a16="http://schemas.microsoft.com/office/drawing/2014/main" id="{00000000-0008-0000-0000-000073040000}"/>
            </a:ext>
          </a:extLst>
        </xdr:cNvPr>
        <xdr:cNvSpPr txBox="1">
          <a:spLocks noChangeArrowheads="1"/>
        </xdr:cNvSpPr>
      </xdr:nvSpPr>
      <xdr:spPr bwMode="auto">
        <a:xfrm>
          <a:off x="8963025" y="2857501"/>
          <a:ext cx="381000" cy="228600"/>
        </a:xfrm>
        <a:prstGeom prst="rect">
          <a:avLst/>
        </a:prstGeom>
        <a:noFill/>
        <a:ln w="9525">
          <a:noFill/>
          <a:miter lim="800000"/>
          <a:headEnd/>
          <a:tailEnd/>
        </a:ln>
      </xdr:spPr>
      <xdr:txBody>
        <a:bodyPr vertOverflow="clip" wrap="square" lIns="27432" tIns="18288" rIns="0" bIns="0" anchor="t" upright="1"/>
        <a:lstStyle/>
        <a:p>
          <a:pPr algn="l" rtl="0">
            <a:defRPr sz="1000"/>
          </a:pPr>
          <a:fld id="{337417C3-6C5A-422C-9240-F4FCAF9181B0}" type="TxLink">
            <a:rPr lang="en-US" sz="1600" b="1" i="0" u="none" strike="noStrike" baseline="0">
              <a:solidFill>
                <a:schemeClr val="bg1"/>
              </a:solidFill>
              <a:latin typeface="Aptos Narrow"/>
            </a:rPr>
            <a:t>9</a:t>
          </a:fld>
          <a:endParaRPr lang="en-US" sz="1600" b="1" i="0" u="none" strike="noStrike" baseline="0">
            <a:solidFill>
              <a:schemeClr val="bg1"/>
            </a:solidFill>
            <a:latin typeface="Aptos Narrow"/>
          </a:endParaRPr>
        </a:p>
      </xdr:txBody>
    </xdr:sp>
    <xdr:clientData/>
  </xdr:twoCellAnchor>
  <xdr:twoCellAnchor>
    <xdr:from>
      <xdr:col>14</xdr:col>
      <xdr:colOff>419100</xdr:colOff>
      <xdr:row>16</xdr:row>
      <xdr:rowOff>19050</xdr:rowOff>
    </xdr:from>
    <xdr:to>
      <xdr:col>15</xdr:col>
      <xdr:colOff>47625</xdr:colOff>
      <xdr:row>17</xdr:row>
      <xdr:rowOff>47625</xdr:rowOff>
    </xdr:to>
    <xdr:sp macro="" textlink="'Pivot Table'!B22">
      <xdr:nvSpPr>
        <xdr:cNvPr id="1140" name="Text Box 4">
          <a:extLst>
            <a:ext uri="{FF2B5EF4-FFF2-40B4-BE49-F238E27FC236}">
              <a16:creationId xmlns:a16="http://schemas.microsoft.com/office/drawing/2014/main" id="{00000000-0008-0000-0000-000074040000}"/>
            </a:ext>
          </a:extLst>
        </xdr:cNvPr>
        <xdr:cNvSpPr txBox="1">
          <a:spLocks noChangeArrowheads="1"/>
        </xdr:cNvSpPr>
      </xdr:nvSpPr>
      <xdr:spPr bwMode="auto">
        <a:xfrm>
          <a:off x="8953500" y="3067050"/>
          <a:ext cx="381000" cy="219075"/>
        </a:xfrm>
        <a:prstGeom prst="rect">
          <a:avLst/>
        </a:prstGeom>
        <a:noFill/>
        <a:ln w="9525">
          <a:noFill/>
          <a:miter lim="800000"/>
          <a:headEnd/>
          <a:tailEnd/>
        </a:ln>
      </xdr:spPr>
      <xdr:txBody>
        <a:bodyPr vertOverflow="clip" wrap="square" lIns="27432" tIns="18288" rIns="0" bIns="0" anchor="t" upright="1"/>
        <a:lstStyle/>
        <a:p>
          <a:pPr algn="l" rtl="0">
            <a:defRPr sz="1000"/>
          </a:pPr>
          <a:fld id="{5317C6A9-6406-46BC-AC72-0133DAF95706}" type="TxLink">
            <a:rPr lang="en-US" sz="1600" b="1" i="0" u="none" strike="noStrike" baseline="0">
              <a:solidFill>
                <a:schemeClr val="bg1"/>
              </a:solidFill>
              <a:latin typeface="Aptos Narrow"/>
            </a:rPr>
            <a:t>10</a:t>
          </a:fld>
          <a:endParaRPr lang="en-US" sz="1600" b="1" i="0" u="none" strike="noStrike" baseline="0">
            <a:solidFill>
              <a:schemeClr val="bg1"/>
            </a:solidFill>
            <a:latin typeface="Aptos Narrow"/>
          </a:endParaRPr>
        </a:p>
      </xdr:txBody>
    </xdr:sp>
    <xdr:clientData/>
  </xdr:twoCellAnchor>
  <xdr:twoCellAnchor>
    <xdr:from>
      <xdr:col>14</xdr:col>
      <xdr:colOff>428625</xdr:colOff>
      <xdr:row>17</xdr:row>
      <xdr:rowOff>47626</xdr:rowOff>
    </xdr:from>
    <xdr:to>
      <xdr:col>15</xdr:col>
      <xdr:colOff>95250</xdr:colOff>
      <xdr:row>18</xdr:row>
      <xdr:rowOff>95250</xdr:rowOff>
    </xdr:to>
    <xdr:sp macro="" textlink="'Pivot Table'!B21">
      <xdr:nvSpPr>
        <xdr:cNvPr id="1141" name="Text Box 4">
          <a:extLst>
            <a:ext uri="{FF2B5EF4-FFF2-40B4-BE49-F238E27FC236}">
              <a16:creationId xmlns:a16="http://schemas.microsoft.com/office/drawing/2014/main" id="{00000000-0008-0000-0000-000075040000}"/>
            </a:ext>
          </a:extLst>
        </xdr:cNvPr>
        <xdr:cNvSpPr txBox="1">
          <a:spLocks noChangeArrowheads="1"/>
        </xdr:cNvSpPr>
      </xdr:nvSpPr>
      <xdr:spPr bwMode="auto">
        <a:xfrm>
          <a:off x="8963025" y="3286126"/>
          <a:ext cx="419100" cy="238124"/>
        </a:xfrm>
        <a:prstGeom prst="rect">
          <a:avLst/>
        </a:prstGeom>
        <a:noFill/>
        <a:ln w="9525">
          <a:noFill/>
          <a:miter lim="800000"/>
          <a:headEnd/>
          <a:tailEnd/>
        </a:ln>
      </xdr:spPr>
      <xdr:txBody>
        <a:bodyPr vertOverflow="clip" wrap="square" lIns="27432" tIns="18288" rIns="0" bIns="0" anchor="t" upright="1"/>
        <a:lstStyle/>
        <a:p>
          <a:pPr algn="l" rtl="0">
            <a:defRPr sz="1000"/>
          </a:pPr>
          <a:fld id="{1F871024-5BAC-4237-A55D-5ABF118F4AED}" type="TxLink">
            <a:rPr lang="en-US" sz="1600" b="1" i="0" u="none" strike="noStrike" baseline="0">
              <a:solidFill>
                <a:schemeClr val="bg1"/>
              </a:solidFill>
              <a:latin typeface="Aptos Narrow"/>
            </a:rPr>
            <a:t>7</a:t>
          </a:fld>
          <a:endParaRPr lang="en-US" sz="1600" b="1" i="0" u="none" strike="noStrike" baseline="0">
            <a:solidFill>
              <a:schemeClr val="bg1"/>
            </a:solidFill>
            <a:latin typeface="Aptos Narrow"/>
          </a:endParaRPr>
        </a:p>
      </xdr:txBody>
    </xdr:sp>
    <xdr:clientData/>
  </xdr:twoCellAnchor>
  <xdr:twoCellAnchor>
    <xdr:from>
      <xdr:col>2</xdr:col>
      <xdr:colOff>114300</xdr:colOff>
      <xdr:row>0</xdr:row>
      <xdr:rowOff>47625</xdr:rowOff>
    </xdr:from>
    <xdr:to>
      <xdr:col>7</xdr:col>
      <xdr:colOff>552450</xdr:colOff>
      <xdr:row>0</xdr:row>
      <xdr:rowOff>93344</xdr:rowOff>
    </xdr:to>
    <xdr:sp macro="" textlink="">
      <xdr:nvSpPr>
        <xdr:cNvPr id="1147" name="Rectangle: Rounded Corners 1146">
          <a:extLst>
            <a:ext uri="{FF2B5EF4-FFF2-40B4-BE49-F238E27FC236}">
              <a16:creationId xmlns:a16="http://schemas.microsoft.com/office/drawing/2014/main" id="{00000000-0008-0000-0000-00007B040000}"/>
            </a:ext>
          </a:extLst>
        </xdr:cNvPr>
        <xdr:cNvSpPr/>
      </xdr:nvSpPr>
      <xdr:spPr>
        <a:xfrm>
          <a:off x="1333500" y="47625"/>
          <a:ext cx="3486150" cy="4571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800" b="1" baseline="0">
              <a:solidFill>
                <a:srgbClr val="FFFF00"/>
              </a:solidFill>
            </a:rPr>
            <a:t>HR   </a:t>
          </a:r>
        </a:p>
        <a:p>
          <a:r>
            <a:rPr lang="en-US" sz="1800" b="1" baseline="0">
              <a:solidFill>
                <a:srgbClr val="FFFF00"/>
              </a:solidFill>
            </a:rPr>
            <a:t>Dashboard</a:t>
          </a:r>
        </a:p>
        <a:p>
          <a:r>
            <a:rPr lang="en-US" sz="1600" b="0" baseline="0">
              <a:solidFill>
                <a:schemeClr val="bg1">
                  <a:lumMod val="50000"/>
                </a:schemeClr>
              </a:solidFill>
            </a:rPr>
            <a:t>Analyse and Monitor the HR Department</a:t>
          </a:r>
        </a:p>
      </xdr:txBody>
    </xdr:sp>
    <xdr:clientData/>
  </xdr:twoCellAnchor>
  <xdr:twoCellAnchor editAs="oneCell">
    <xdr:from>
      <xdr:col>0</xdr:col>
      <xdr:colOff>476250</xdr:colOff>
      <xdr:row>2</xdr:row>
      <xdr:rowOff>57150</xdr:rowOff>
    </xdr:from>
    <xdr:to>
      <xdr:col>2</xdr:col>
      <xdr:colOff>171450</xdr:colOff>
      <xdr:row>6</xdr:row>
      <xdr:rowOff>38100</xdr:rowOff>
    </xdr:to>
    <xdr:pic>
      <xdr:nvPicPr>
        <xdr:cNvPr id="1149" name="Graphic 1148" descr="Users with solid fill">
          <a:extLst>
            <a:ext uri="{FF2B5EF4-FFF2-40B4-BE49-F238E27FC236}">
              <a16:creationId xmlns:a16="http://schemas.microsoft.com/office/drawing/2014/main" id="{00000000-0008-0000-0000-00007D04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76250" y="438150"/>
          <a:ext cx="914400" cy="742950"/>
        </a:xfrm>
        <a:prstGeom prst="rect">
          <a:avLst/>
        </a:prstGeom>
      </xdr:spPr>
    </xdr:pic>
    <xdr:clientData/>
  </xdr:twoCellAnchor>
  <xdr:twoCellAnchor editAs="oneCell">
    <xdr:from>
      <xdr:col>0</xdr:col>
      <xdr:colOff>471450</xdr:colOff>
      <xdr:row>0</xdr:row>
      <xdr:rowOff>0</xdr:rowOff>
    </xdr:from>
    <xdr:to>
      <xdr:col>2</xdr:col>
      <xdr:colOff>166650</xdr:colOff>
      <xdr:row>3</xdr:row>
      <xdr:rowOff>142875</xdr:rowOff>
    </xdr:to>
    <xdr:pic>
      <xdr:nvPicPr>
        <xdr:cNvPr id="1153" name="Graphic 1152" descr="Internet with solid fill">
          <a:extLst>
            <a:ext uri="{FF2B5EF4-FFF2-40B4-BE49-F238E27FC236}">
              <a16:creationId xmlns:a16="http://schemas.microsoft.com/office/drawing/2014/main" id="{00000000-0008-0000-0000-00008104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71450" y="0"/>
          <a:ext cx="914400" cy="714375"/>
        </a:xfrm>
        <a:prstGeom prst="rect">
          <a:avLst/>
        </a:prstGeom>
      </xdr:spPr>
    </xdr:pic>
    <xdr:clientData/>
  </xdr:twoCellAnchor>
  <xdr:twoCellAnchor editAs="oneCell">
    <xdr:from>
      <xdr:col>4</xdr:col>
      <xdr:colOff>2325</xdr:colOff>
      <xdr:row>12</xdr:row>
      <xdr:rowOff>95250</xdr:rowOff>
    </xdr:from>
    <xdr:to>
      <xdr:col>5</xdr:col>
      <xdr:colOff>307125</xdr:colOff>
      <xdr:row>15</xdr:row>
      <xdr:rowOff>9526</xdr:rowOff>
    </xdr:to>
    <xdr:pic>
      <xdr:nvPicPr>
        <xdr:cNvPr id="1155" name="Graphic 1154" descr="Female Profile with solid fill">
          <a:extLst>
            <a:ext uri="{FF2B5EF4-FFF2-40B4-BE49-F238E27FC236}">
              <a16:creationId xmlns:a16="http://schemas.microsoft.com/office/drawing/2014/main" id="{00000000-0008-0000-0000-00008304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440725" y="2381250"/>
          <a:ext cx="914400" cy="485776"/>
        </a:xfrm>
        <a:prstGeom prst="rect">
          <a:avLst/>
        </a:prstGeom>
      </xdr:spPr>
    </xdr:pic>
    <xdr:clientData/>
  </xdr:twoCellAnchor>
  <xdr:twoCellAnchor editAs="oneCell">
    <xdr:from>
      <xdr:col>6</xdr:col>
      <xdr:colOff>152325</xdr:colOff>
      <xdr:row>12</xdr:row>
      <xdr:rowOff>19050</xdr:rowOff>
    </xdr:from>
    <xdr:to>
      <xdr:col>7</xdr:col>
      <xdr:colOff>457125</xdr:colOff>
      <xdr:row>15</xdr:row>
      <xdr:rowOff>28499</xdr:rowOff>
    </xdr:to>
    <xdr:pic>
      <xdr:nvPicPr>
        <xdr:cNvPr id="1157" name="Graphic 1156" descr="Male profile with solid fill">
          <a:extLst>
            <a:ext uri="{FF2B5EF4-FFF2-40B4-BE49-F238E27FC236}">
              <a16:creationId xmlns:a16="http://schemas.microsoft.com/office/drawing/2014/main" id="{00000000-0008-0000-0000-00008504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09925" y="2305050"/>
          <a:ext cx="914400" cy="580949"/>
        </a:xfrm>
        <a:prstGeom prst="rect">
          <a:avLst/>
        </a:prstGeom>
      </xdr:spPr>
    </xdr:pic>
    <xdr:clientData/>
  </xdr:twoCellAnchor>
  <xdr:twoCellAnchor editAs="oneCell">
    <xdr:from>
      <xdr:col>1</xdr:col>
      <xdr:colOff>473775</xdr:colOff>
      <xdr:row>5</xdr:row>
      <xdr:rowOff>111825</xdr:rowOff>
    </xdr:from>
    <xdr:to>
      <xdr:col>3</xdr:col>
      <xdr:colOff>168975</xdr:colOff>
      <xdr:row>10</xdr:row>
      <xdr:rowOff>73725</xdr:rowOff>
    </xdr:to>
    <xdr:pic>
      <xdr:nvPicPr>
        <xdr:cNvPr id="1159" name="Graphic 1158" descr="Upward trend with solid fill">
          <a:extLst>
            <a:ext uri="{FF2B5EF4-FFF2-40B4-BE49-F238E27FC236}">
              <a16:creationId xmlns:a16="http://schemas.microsoft.com/office/drawing/2014/main" id="{00000000-0008-0000-0000-00008704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83375" y="1064325"/>
          <a:ext cx="914400" cy="914400"/>
        </a:xfrm>
        <a:prstGeom prst="rect">
          <a:avLst/>
        </a:prstGeom>
      </xdr:spPr>
    </xdr:pic>
    <xdr:clientData/>
  </xdr:twoCellAnchor>
  <xdr:twoCellAnchor editAs="oneCell">
    <xdr:from>
      <xdr:col>12</xdr:col>
      <xdr:colOff>419100</xdr:colOff>
      <xdr:row>0</xdr:row>
      <xdr:rowOff>0</xdr:rowOff>
    </xdr:from>
    <xdr:to>
      <xdr:col>15</xdr:col>
      <xdr:colOff>276225</xdr:colOff>
      <xdr:row>9</xdr:row>
      <xdr:rowOff>180975</xdr:rowOff>
    </xdr:to>
    <mc:AlternateContent xmlns:mc="http://schemas.openxmlformats.org/markup-compatibility/2006" xmlns:a14="http://schemas.microsoft.com/office/drawing/2010/main">
      <mc:Choice Requires="a14">
        <xdr:graphicFrame macro="">
          <xdr:nvGraphicFramePr>
            <xdr:cNvPr id="22" name="Department 2">
              <a:extLst>
                <a:ext uri="{FF2B5EF4-FFF2-40B4-BE49-F238E27FC236}">
                  <a16:creationId xmlns:a16="http://schemas.microsoft.com/office/drawing/2014/main" id="{24351580-0032-491D-810D-9EFD8C96205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7734300" y="0"/>
              <a:ext cx="1828800" cy="1895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190500</xdr:colOff>
      <xdr:row>0</xdr:row>
      <xdr:rowOff>0</xdr:rowOff>
    </xdr:from>
    <xdr:to>
      <xdr:col>12</xdr:col>
      <xdr:colOff>190500</xdr:colOff>
      <xdr:row>5</xdr:row>
      <xdr:rowOff>66675</xdr:rowOff>
    </xdr:to>
    <mc:AlternateContent xmlns:mc="http://schemas.openxmlformats.org/markup-compatibility/2006" xmlns:a14="http://schemas.microsoft.com/office/drawing/2010/main">
      <mc:Choice Requires="a14">
        <xdr:graphicFrame macro="">
          <xdr:nvGraphicFramePr>
            <xdr:cNvPr id="30" name="Gender 2">
              <a:extLst>
                <a:ext uri="{FF2B5EF4-FFF2-40B4-BE49-F238E27FC236}">
                  <a16:creationId xmlns:a16="http://schemas.microsoft.com/office/drawing/2014/main" id="{1EE2352B-2561-4945-A5BD-5F014F050CD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676900" y="0"/>
              <a:ext cx="1828800" cy="1019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104775</xdr:colOff>
      <xdr:row>6</xdr:row>
      <xdr:rowOff>66675</xdr:rowOff>
    </xdr:from>
    <xdr:to>
      <xdr:col>7</xdr:col>
      <xdr:colOff>409575</xdr:colOff>
      <xdr:row>10</xdr:row>
      <xdr:rowOff>133350</xdr:rowOff>
    </xdr:to>
    <xdr:pic>
      <xdr:nvPicPr>
        <xdr:cNvPr id="40" name="Graphic 39" descr="Users with solid fill">
          <a:extLst>
            <a:ext uri="{FF2B5EF4-FFF2-40B4-BE49-F238E27FC236}">
              <a16:creationId xmlns:a16="http://schemas.microsoft.com/office/drawing/2014/main" id="{192ACE3F-AEF4-5A5D-B370-E22BD87B484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762375" y="1209675"/>
          <a:ext cx="914400" cy="828675"/>
        </a:xfrm>
        <a:prstGeom prst="rect">
          <a:avLst/>
        </a:prstGeom>
      </xdr:spPr>
    </xdr:pic>
    <xdr:clientData/>
  </xdr:twoCellAnchor>
  <xdr:twoCellAnchor>
    <xdr:from>
      <xdr:col>9</xdr:col>
      <xdr:colOff>190500</xdr:colOff>
      <xdr:row>0</xdr:row>
      <xdr:rowOff>0</xdr:rowOff>
    </xdr:from>
    <xdr:to>
      <xdr:col>10</xdr:col>
      <xdr:colOff>581025</xdr:colOff>
      <xdr:row>1</xdr:row>
      <xdr:rowOff>66675</xdr:rowOff>
    </xdr:to>
    <xdr:sp macro="" textlink="">
      <xdr:nvSpPr>
        <xdr:cNvPr id="4" name="Rectangle: Rounded Corners 3">
          <a:extLst>
            <a:ext uri="{FF2B5EF4-FFF2-40B4-BE49-F238E27FC236}">
              <a16:creationId xmlns:a16="http://schemas.microsoft.com/office/drawing/2014/main" id="{7987465F-D9BD-42BC-AFC9-EC25E1B66C7E}"/>
            </a:ext>
          </a:extLst>
        </xdr:cNvPr>
        <xdr:cNvSpPr/>
      </xdr:nvSpPr>
      <xdr:spPr>
        <a:xfrm>
          <a:off x="5676900" y="0"/>
          <a:ext cx="1000125" cy="2571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200" baseline="0">
              <a:solidFill>
                <a:srgbClr val="FFFF00"/>
              </a:solidFill>
            </a:rPr>
            <a:t>Gender</a:t>
          </a:r>
        </a:p>
        <a:p>
          <a:endParaRPr lang="en-US" sz="800">
            <a:solidFill>
              <a:schemeClr val="bg1">
                <a:lumMod val="75000"/>
              </a:schemeClr>
            </a:solidFill>
          </a:endParaRPr>
        </a:p>
      </xdr:txBody>
    </xdr:sp>
    <xdr:clientData/>
  </xdr:twoCellAnchor>
  <xdr:twoCellAnchor>
    <xdr:from>
      <xdr:col>12</xdr:col>
      <xdr:colOff>419100</xdr:colOff>
      <xdr:row>0</xdr:row>
      <xdr:rowOff>1</xdr:rowOff>
    </xdr:from>
    <xdr:to>
      <xdr:col>14</xdr:col>
      <xdr:colOff>257175</xdr:colOff>
      <xdr:row>1</xdr:row>
      <xdr:rowOff>66675</xdr:rowOff>
    </xdr:to>
    <xdr:sp macro="" textlink="">
      <xdr:nvSpPr>
        <xdr:cNvPr id="23" name="Rectangle: Rounded Corners 22">
          <a:extLst>
            <a:ext uri="{FF2B5EF4-FFF2-40B4-BE49-F238E27FC236}">
              <a16:creationId xmlns:a16="http://schemas.microsoft.com/office/drawing/2014/main" id="{DFE2BAC6-106A-4483-AA18-912A0DD8BE90}"/>
            </a:ext>
          </a:extLst>
        </xdr:cNvPr>
        <xdr:cNvSpPr/>
      </xdr:nvSpPr>
      <xdr:spPr>
        <a:xfrm>
          <a:off x="7734300" y="1"/>
          <a:ext cx="1057275" cy="25717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200" baseline="0">
              <a:solidFill>
                <a:srgbClr val="FFFF00"/>
              </a:solidFill>
            </a:rPr>
            <a:t>Department </a:t>
          </a:r>
        </a:p>
        <a:p>
          <a:endParaRPr lang="en-US" sz="800">
            <a:solidFill>
              <a:schemeClr val="bg1">
                <a:lumMod val="75000"/>
              </a:schemeClr>
            </a:solidFill>
          </a:endParaRPr>
        </a:p>
      </xdr:txBody>
    </xdr:sp>
    <xdr:clientData/>
  </xdr:twoCellAnchor>
  <xdr:twoCellAnchor>
    <xdr:from>
      <xdr:col>8</xdr:col>
      <xdr:colOff>381001</xdr:colOff>
      <xdr:row>8</xdr:row>
      <xdr:rowOff>85726</xdr:rowOff>
    </xdr:from>
    <xdr:to>
      <xdr:col>12</xdr:col>
      <xdr:colOff>228601</xdr:colOff>
      <xdr:row>15</xdr:row>
      <xdr:rowOff>66676</xdr:rowOff>
    </xdr:to>
    <xdr:graphicFrame macro="">
      <xdr:nvGraphicFramePr>
        <xdr:cNvPr id="42" name="Chart 41">
          <a:extLst>
            <a:ext uri="{FF2B5EF4-FFF2-40B4-BE49-F238E27FC236}">
              <a16:creationId xmlns:a16="http://schemas.microsoft.com/office/drawing/2014/main" id="{5FBE27BF-6D1A-4578-9BD5-6422E9391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114301</xdr:colOff>
      <xdr:row>22</xdr:row>
      <xdr:rowOff>104774</xdr:rowOff>
    </xdr:from>
    <xdr:to>
      <xdr:col>3</xdr:col>
      <xdr:colOff>295275</xdr:colOff>
      <xdr:row>31</xdr:row>
      <xdr:rowOff>171449</xdr:rowOff>
    </xdr:to>
    <xdr:graphicFrame macro="">
      <xdr:nvGraphicFramePr>
        <xdr:cNvPr id="44" name="Chart 43">
          <a:extLst>
            <a:ext uri="{FF2B5EF4-FFF2-40B4-BE49-F238E27FC236}">
              <a16:creationId xmlns:a16="http://schemas.microsoft.com/office/drawing/2014/main" id="{D84EB140-3850-4B93-8939-074A7E7A7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0.62963</cdr:x>
      <cdr:y>0.28087</cdr:y>
    </cdr:from>
    <cdr:to>
      <cdr:x>0.99471</cdr:x>
      <cdr:y>0.39225</cdr:y>
    </cdr:to>
    <cdr:sp macro="" textlink="">
      <cdr:nvSpPr>
        <cdr:cNvPr id="2" name="Rectangle: Rounded Corners 1">
          <a:extLst xmlns:a="http://schemas.openxmlformats.org/drawingml/2006/main">
            <a:ext uri="{FF2B5EF4-FFF2-40B4-BE49-F238E27FC236}">
              <a16:creationId xmlns:a16="http://schemas.microsoft.com/office/drawing/2014/main" id="{8A5BE9DF-3B4A-F6D0-EE1F-4D12F1F6B0A8}"/>
            </a:ext>
          </a:extLst>
        </cdr:cNvPr>
        <cdr:cNvSpPr/>
      </cdr:nvSpPr>
      <cdr:spPr>
        <a:xfrm xmlns:a="http://schemas.openxmlformats.org/drawingml/2006/main">
          <a:off x="1133476" y="552449"/>
          <a:ext cx="657226" cy="219075"/>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solidFill>
                <a:schemeClr val="bg1"/>
              </a:solidFill>
            </a:rPr>
            <a:t>Remote</a:t>
          </a:r>
        </a:p>
      </cdr:txBody>
    </cdr:sp>
  </cdr:relSizeAnchor>
  <cdr:relSizeAnchor xmlns:cdr="http://schemas.openxmlformats.org/drawingml/2006/chartDrawing">
    <cdr:from>
      <cdr:x>0.47619</cdr:x>
      <cdr:y>0.60533</cdr:y>
    </cdr:from>
    <cdr:to>
      <cdr:x>1</cdr:x>
      <cdr:y>0.73123</cdr:y>
    </cdr:to>
    <cdr:sp macro="" textlink="">
      <cdr:nvSpPr>
        <cdr:cNvPr id="3" name="Rectangle: Rounded Corners 2">
          <a:extLst xmlns:a="http://schemas.openxmlformats.org/drawingml/2006/main">
            <a:ext uri="{FF2B5EF4-FFF2-40B4-BE49-F238E27FC236}">
              <a16:creationId xmlns:a16="http://schemas.microsoft.com/office/drawing/2014/main" id="{5CCC1679-BF05-791A-0D91-B21D6E3CF419}"/>
            </a:ext>
          </a:extLst>
        </cdr:cNvPr>
        <cdr:cNvSpPr/>
      </cdr:nvSpPr>
      <cdr:spPr>
        <a:xfrm xmlns:a="http://schemas.openxmlformats.org/drawingml/2006/main">
          <a:off x="857251" y="1190624"/>
          <a:ext cx="942974" cy="247650"/>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solidFill>
                <a:schemeClr val="bg1"/>
              </a:solidFill>
            </a:rPr>
            <a:t>Head</a:t>
          </a:r>
          <a:r>
            <a:rPr lang="en-US" baseline="0">
              <a:solidFill>
                <a:schemeClr val="bg1"/>
              </a:solidFill>
            </a:rPr>
            <a:t> Offic</a:t>
          </a:r>
          <a:r>
            <a:rPr lang="en-US">
              <a:solidFill>
                <a:schemeClr val="bg1"/>
              </a:solidFill>
            </a:rPr>
            <a:t>e</a:t>
          </a:r>
        </a:p>
      </cdr:txBody>
    </cdr:sp>
  </cdr:relSizeAnchor>
  <cdr:relSizeAnchor xmlns:cdr="http://schemas.openxmlformats.org/drawingml/2006/chartDrawing">
    <cdr:from>
      <cdr:x>0.44974</cdr:x>
      <cdr:y>0.8523</cdr:y>
    </cdr:from>
    <cdr:to>
      <cdr:x>1</cdr:x>
      <cdr:y>0.99758</cdr:y>
    </cdr:to>
    <cdr:sp macro="" textlink="">
      <cdr:nvSpPr>
        <cdr:cNvPr id="4" name="Rectangle: Rounded Corners 3">
          <a:extLst xmlns:a="http://schemas.openxmlformats.org/drawingml/2006/main">
            <a:ext uri="{FF2B5EF4-FFF2-40B4-BE49-F238E27FC236}">
              <a16:creationId xmlns:a16="http://schemas.microsoft.com/office/drawing/2014/main" id="{A3F5904C-EA1A-1A5C-A401-0E47E2FBF03D}"/>
            </a:ext>
          </a:extLst>
        </cdr:cNvPr>
        <cdr:cNvSpPr/>
      </cdr:nvSpPr>
      <cdr:spPr>
        <a:xfrm xmlns:a="http://schemas.openxmlformats.org/drawingml/2006/main">
          <a:off x="809626" y="1676399"/>
          <a:ext cx="990599" cy="285750"/>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baseline="0">
              <a:solidFill>
                <a:schemeClr val="bg1"/>
              </a:solidFill>
            </a:rPr>
            <a:t>Branch Offic</a:t>
          </a:r>
          <a:r>
            <a:rPr lang="en-US">
              <a:solidFill>
                <a:schemeClr val="bg1"/>
              </a:solidFill>
            </a:rPr>
            <a:t>e</a:t>
          </a:r>
        </a:p>
      </cdr:txBody>
    </cdr:sp>
  </cdr:relSizeAnchor>
  <cdr:relSizeAnchor xmlns:cdr="http://schemas.openxmlformats.org/drawingml/2006/chartDrawing">
    <cdr:from>
      <cdr:x>0.1164</cdr:x>
      <cdr:y>0.01729</cdr:y>
    </cdr:from>
    <cdr:to>
      <cdr:x>0.92064</cdr:x>
      <cdr:y>0.30547</cdr:y>
    </cdr:to>
    <cdr:sp macro="" textlink="">
      <cdr:nvSpPr>
        <cdr:cNvPr id="5" name="Rectangle: Rounded Corners 4">
          <a:extLst xmlns:a="http://schemas.openxmlformats.org/drawingml/2006/main">
            <a:ext uri="{FF2B5EF4-FFF2-40B4-BE49-F238E27FC236}">
              <a16:creationId xmlns:a16="http://schemas.microsoft.com/office/drawing/2014/main" id="{26DAA0E3-822A-1BBA-B661-F34C2F8860C6}"/>
            </a:ext>
          </a:extLst>
        </cdr:cNvPr>
        <cdr:cNvSpPr/>
      </cdr:nvSpPr>
      <cdr:spPr>
        <a:xfrm xmlns:a="http://schemas.openxmlformats.org/drawingml/2006/main">
          <a:off x="209551" y="28575"/>
          <a:ext cx="1447800" cy="476249"/>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baseline="0">
              <a:solidFill>
                <a:srgbClr val="FFFF00"/>
              </a:solidFill>
            </a:rPr>
            <a:t>Work Location</a:t>
          </a:r>
        </a:p>
        <a:p xmlns:a="http://schemas.openxmlformats.org/drawingml/2006/main">
          <a:r>
            <a:rPr lang="en-US" sz="800">
              <a:solidFill>
                <a:schemeClr val="bg1">
                  <a:lumMod val="75000"/>
                </a:schemeClr>
              </a:solidFill>
            </a:rPr>
            <a:t>Employees To workplace</a:t>
          </a:r>
        </a:p>
      </cdr:txBody>
    </cdr:sp>
  </cdr:relSizeAnchor>
</c:userShapes>
</file>

<file path=xl/drawings/drawing3.xml><?xml version="1.0" encoding="utf-8"?>
<xdr:wsDr xmlns:xdr="http://schemas.openxmlformats.org/drawingml/2006/spreadsheetDrawing" xmlns:a="http://schemas.openxmlformats.org/drawingml/2006/main">
  <xdr:twoCellAnchor>
    <xdr:from>
      <xdr:col>8</xdr:col>
      <xdr:colOff>66675</xdr:colOff>
      <xdr:row>2</xdr:row>
      <xdr:rowOff>104774</xdr:rowOff>
    </xdr:from>
    <xdr:to>
      <xdr:col>12</xdr:col>
      <xdr:colOff>276225</xdr:colOff>
      <xdr:row>10</xdr:row>
      <xdr:rowOff>157161</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266700</xdr:colOff>
      <xdr:row>23</xdr:row>
      <xdr:rowOff>76200</xdr:rowOff>
    </xdr:from>
    <xdr:to>
      <xdr:col>13</xdr:col>
      <xdr:colOff>295275</xdr:colOff>
      <xdr:row>33</xdr:row>
      <xdr:rowOff>157162</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257175</xdr:colOff>
      <xdr:row>20</xdr:row>
      <xdr:rowOff>57150</xdr:rowOff>
    </xdr:from>
    <xdr:to>
      <xdr:col>8</xdr:col>
      <xdr:colOff>66675</xdr:colOff>
      <xdr:row>30</xdr:row>
      <xdr:rowOff>100012</xdr:rowOff>
    </xdr:to>
    <xdr:graphicFrame macro="">
      <xdr:nvGraphicFramePr>
        <xdr:cNvPr id="14" name="Chart 13">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1133475</xdr:colOff>
      <xdr:row>2</xdr:row>
      <xdr:rowOff>180975</xdr:rowOff>
    </xdr:from>
    <xdr:to>
      <xdr:col>5</xdr:col>
      <xdr:colOff>9525</xdr:colOff>
      <xdr:row>13</xdr:row>
      <xdr:rowOff>161925</xdr:rowOff>
    </xdr:to>
    <mc:AlternateContent xmlns:mc="http://schemas.openxmlformats.org/markup-compatibility/2006">
      <mc:Choice xmlns:a14="http://schemas.microsoft.com/office/drawing/2010/main" Requires="a14">
        <xdr:graphicFrame macro="">
          <xdr:nvGraphicFramePr>
            <xdr:cNvPr id="4" name="Department 1">
              <a:extLst>
                <a:ext uri="{FF2B5EF4-FFF2-40B4-BE49-F238E27FC236}">
                  <a16:creationId xmlns:a16="http://schemas.microsoft.com/office/drawing/2014/main" id="{CDC8B75E-DD20-3E07-11B4-99D37F630FC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3267075" y="561975"/>
              <a:ext cx="1333500" cy="2076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381000</xdr:colOff>
      <xdr:row>35</xdr:row>
      <xdr:rowOff>9525</xdr:rowOff>
    </xdr:from>
    <xdr:to>
      <xdr:col>9</xdr:col>
      <xdr:colOff>333375</xdr:colOff>
      <xdr:row>43</xdr:row>
      <xdr:rowOff>19050</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45229A83-BA7B-0AF2-8028-6AA78799C62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753225" y="6677025"/>
              <a:ext cx="1828800"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523875</xdr:colOff>
      <xdr:row>35</xdr:row>
      <xdr:rowOff>171450</xdr:rowOff>
    </xdr:from>
    <xdr:to>
      <xdr:col>18</xdr:col>
      <xdr:colOff>666750</xdr:colOff>
      <xdr:row>48</xdr:row>
      <xdr:rowOff>100012</xdr:rowOff>
    </xdr:to>
    <xdr:graphicFrame macro="">
      <xdr:nvGraphicFramePr>
        <xdr:cNvPr id="5" name="Chart 4">
          <a:extLst>
            <a:ext uri="{FF2B5EF4-FFF2-40B4-BE49-F238E27FC236}">
              <a16:creationId xmlns:a16="http://schemas.microsoft.com/office/drawing/2014/main" id="{DA048098-BA58-A2DC-9D23-806468AC4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28574</xdr:colOff>
      <xdr:row>21</xdr:row>
      <xdr:rowOff>104775</xdr:rowOff>
    </xdr:from>
    <xdr:to>
      <xdr:col>18</xdr:col>
      <xdr:colOff>1219199</xdr:colOff>
      <xdr:row>30</xdr:row>
      <xdr:rowOff>14287</xdr:rowOff>
    </xdr:to>
    <xdr:graphicFrame macro="">
      <xdr:nvGraphicFramePr>
        <xdr:cNvPr id="6" name="Chart 5">
          <a:extLst>
            <a:ext uri="{FF2B5EF4-FFF2-40B4-BE49-F238E27FC236}">
              <a16:creationId xmlns:a16="http://schemas.microsoft.com/office/drawing/2014/main" id="{BB370E81-75A4-9CA0-CB9D-D0FEE04F3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6.285763425927" createdVersion="8" refreshedVersion="8" minRefreshableVersion="3" recordCount="50" xr:uid="{7F932054-EAC4-4A61-862E-C6A3A22CE1F6}">
  <cacheSource type="worksheet">
    <worksheetSource name="Table4"/>
  </cacheSource>
  <cacheFields count="22">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4">
        <s v="Head Office"/>
        <s v="Branch Office"/>
        <s v="Remote"/>
        <s v="Formula1" f="1"/>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ount="5">
        <n v="1"/>
        <n v="4"/>
        <n v="2"/>
        <n v="3"/>
        <n v="5"/>
      </sharedItems>
    </cacheField>
    <cacheField name="Training Programs Attended" numFmtId="0">
      <sharedItems/>
    </cacheField>
    <cacheField name="Skills" numFmtId="0">
      <sharedItems count="9">
        <s v="Design"/>
        <s v="Management"/>
        <s v="Python"/>
        <s v="Communication"/>
        <s v="Excel"/>
        <s v="Formula1" f="1"/>
        <s v="Formula2" f="1"/>
        <s v="Formula3" f="1"/>
        <s v="Formula4" f="1"/>
      </sharedItems>
    </cacheField>
    <cacheField name="Certifications" numFmtId="0">
      <sharedItems/>
    </cacheField>
    <cacheField name="Field1" numFmtId="0" formula=" 0" databaseField="0"/>
  </cacheFields>
  <calculatedItems count="5">
    <calculatedItem>
      <pivotArea cacheIndex="1" outline="0" fieldPosition="0">
        <references count="1">
          <reference field="11" count="1">
            <x v="3"/>
          </reference>
        </references>
      </pivotArea>
    </calculatedItem>
    <calculatedItem>
      <pivotArea cacheIndex="1" outline="0" fieldPosition="0">
        <references count="1">
          <reference field="19" count="1">
            <x v="5"/>
          </reference>
        </references>
      </pivotArea>
    </calculatedItem>
    <calculatedItem>
      <pivotArea cacheIndex="1" outline="0" fieldPosition="0">
        <references count="1">
          <reference field="19" count="1">
            <x v="6"/>
          </reference>
        </references>
      </pivotArea>
    </calculatedItem>
    <calculatedItem>
      <pivotArea cacheIndex="1" outline="0" fieldPosition="0">
        <references count="1">
          <reference field="19" count="1">
            <x v="7"/>
          </reference>
        </references>
      </pivotArea>
    </calculatedItem>
    <calculatedItem>
      <pivotArea cacheIndex="1" outline="0" fieldPosition="0">
        <references count="1">
          <reference field="19" count="1">
            <x v="8"/>
          </reference>
        </references>
      </pivotArea>
    </calculatedItem>
  </calculatedItems>
  <extLst>
    <ext xmlns:x14="http://schemas.microsoft.com/office/spreadsheetml/2009/9/main" uri="{725AE2AE-9491-48be-B2B4-4EB974FC3084}">
      <x14:pivotCacheDefinition pivotCacheId="154682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s v="Luis Reynolds"/>
    <s v="2019-03-15"/>
    <x v="0"/>
    <x v="0"/>
    <n v="53700"/>
    <s v="C"/>
    <n v="1463"/>
    <s v="Health"/>
    <n v="1"/>
    <x v="0"/>
    <s v="Leadership Training"/>
    <x v="0"/>
    <s v="Certified Professional"/>
  </r>
  <r>
    <n v="9116"/>
    <s v="Gary Garcia"/>
    <x v="1"/>
    <n v="27"/>
    <x v="1"/>
    <x v="1"/>
    <x v="1"/>
    <x v="1"/>
    <s v="Ashley Simmons MD"/>
    <s v="2022-12-20"/>
    <x v="0"/>
    <x v="1"/>
    <n v="91091"/>
    <s v="B"/>
    <n v="1024"/>
    <s v="None"/>
    <n v="19"/>
    <x v="1"/>
    <s v="Excel Workshop"/>
    <x v="0"/>
    <s v="Certified Professional"/>
  </r>
  <r>
    <n v="5120"/>
    <s v="Jeremy Nguyen"/>
    <x v="1"/>
    <n v="34"/>
    <x v="1"/>
    <x v="2"/>
    <x v="2"/>
    <x v="2"/>
    <s v="Cassandra Duncan"/>
    <s v="2022-08-10"/>
    <x v="0"/>
    <x v="2"/>
    <n v="57538"/>
    <s v="D"/>
    <n v="1674"/>
    <s v="None"/>
    <n v="8"/>
    <x v="0"/>
    <s v="None"/>
    <x v="1"/>
    <s v="Advanced Training"/>
  </r>
  <r>
    <n v="8071"/>
    <s v="Kimberly Jones"/>
    <x v="0"/>
    <n v="41"/>
    <x v="2"/>
    <x v="2"/>
    <x v="0"/>
    <x v="3"/>
    <s v="Janet Harris"/>
    <s v="2024-09-03"/>
    <x v="1"/>
    <x v="0"/>
    <n v="62993"/>
    <s v="A"/>
    <n v="2695"/>
    <s v="Health + Dental"/>
    <n v="0"/>
    <x v="2"/>
    <s v="None"/>
    <x v="2"/>
    <s v="None"/>
  </r>
  <r>
    <n v="9351"/>
    <s v="Anthony Gates"/>
    <x v="1"/>
    <n v="56"/>
    <x v="3"/>
    <x v="0"/>
    <x v="0"/>
    <x v="2"/>
    <s v="Mr. Frank Clay"/>
    <s v="2019-03-14"/>
    <x v="1"/>
    <x v="1"/>
    <n v="45773"/>
    <s v="A"/>
    <n v="8776"/>
    <s v="Health"/>
    <n v="16"/>
    <x v="1"/>
    <s v="Leadership Training"/>
    <x v="2"/>
    <s v="None"/>
  </r>
  <r>
    <n v="2873"/>
    <s v="Courtney Foster"/>
    <x v="0"/>
    <n v="28"/>
    <x v="1"/>
    <x v="2"/>
    <x v="3"/>
    <x v="2"/>
    <s v="Dorothy Price"/>
    <s v="2017-01-23"/>
    <x v="0"/>
    <x v="1"/>
    <n v="96249"/>
    <s v="C"/>
    <n v="4826"/>
    <s v="Health + Dental"/>
    <n v="7"/>
    <x v="3"/>
    <s v="Leadership Training"/>
    <x v="3"/>
    <s v="Certified Professional"/>
  </r>
  <r>
    <n v="3540"/>
    <s v="Catherine Hall"/>
    <x v="0"/>
    <n v="20"/>
    <x v="0"/>
    <x v="1"/>
    <x v="2"/>
    <x v="2"/>
    <s v="Michele Sexton"/>
    <s v="2024-08-17"/>
    <x v="0"/>
    <x v="2"/>
    <n v="61596"/>
    <s v="C"/>
    <n v="8818"/>
    <s v="Health + Dental"/>
    <n v="4"/>
    <x v="2"/>
    <s v="Leadership Training"/>
    <x v="1"/>
    <s v="None"/>
  </r>
  <r>
    <n v="3653"/>
    <s v="Deanna Ball"/>
    <x v="0"/>
    <n v="58"/>
    <x v="3"/>
    <x v="3"/>
    <x v="1"/>
    <x v="4"/>
    <s v="Richard Schmidt"/>
    <s v="2014-12-09"/>
    <x v="0"/>
    <x v="2"/>
    <n v="97869"/>
    <s v="A"/>
    <n v="1966"/>
    <s v="Health"/>
    <n v="10"/>
    <x v="0"/>
    <s v="Leadership Training"/>
    <x v="0"/>
    <s v="Certified Professional"/>
  </r>
  <r>
    <n v="5587"/>
    <s v="Candace Nelson"/>
    <x v="0"/>
    <n v="44"/>
    <x v="2"/>
    <x v="3"/>
    <x v="2"/>
    <x v="2"/>
    <s v="Teresa Pearson"/>
    <s v="2021-06-28"/>
    <x v="0"/>
    <x v="0"/>
    <n v="81235"/>
    <s v="A"/>
    <n v="6553"/>
    <s v="None"/>
    <n v="16"/>
    <x v="2"/>
    <s v="None"/>
    <x v="1"/>
    <s v="Certified Professional"/>
  </r>
  <r>
    <n v="9554"/>
    <s v="Mandy Davis"/>
    <x v="0"/>
    <n v="29"/>
    <x v="1"/>
    <x v="1"/>
    <x v="2"/>
    <x v="3"/>
    <s v="Laura Hart"/>
    <s v="2018-05-20"/>
    <x v="0"/>
    <x v="1"/>
    <n v="87852"/>
    <s v="A"/>
    <n v="4980"/>
    <s v="Health + Dental"/>
    <n v="19"/>
    <x v="3"/>
    <s v="None"/>
    <x v="2"/>
    <s v="Certified Professional"/>
  </r>
  <r>
    <n v="6213"/>
    <s v="Matthew Powell"/>
    <x v="1"/>
    <n v="23"/>
    <x v="0"/>
    <x v="3"/>
    <x v="0"/>
    <x v="2"/>
    <s v="Andrea May"/>
    <s v="2017-02-13"/>
    <x v="1"/>
    <x v="1"/>
    <n v="59359"/>
    <s v="A"/>
    <n v="9449"/>
    <s v="Health + Dental"/>
    <n v="20"/>
    <x v="3"/>
    <s v="None"/>
    <x v="1"/>
    <s v="None"/>
  </r>
  <r>
    <n v="9105"/>
    <s v="Bruce Nelson"/>
    <x v="1"/>
    <n v="30"/>
    <x v="1"/>
    <x v="0"/>
    <x v="1"/>
    <x v="0"/>
    <s v="Casey Martin"/>
    <s v="2024-05-05"/>
    <x v="1"/>
    <x v="2"/>
    <n v="81225"/>
    <s v="D"/>
    <n v="6202"/>
    <s v="Health + Dental"/>
    <n v="2"/>
    <x v="2"/>
    <s v="Excel Workshop"/>
    <x v="4"/>
    <s v="Certified Professional"/>
  </r>
  <r>
    <n v="9508"/>
    <s v="Dawn Cole"/>
    <x v="0"/>
    <n v="49"/>
    <x v="4"/>
    <x v="1"/>
    <x v="0"/>
    <x v="0"/>
    <s v="Amber Allen"/>
    <s v="2022-04-19"/>
    <x v="1"/>
    <x v="0"/>
    <n v="32788"/>
    <s v="D"/>
    <n v="4396"/>
    <s v="Health"/>
    <n v="13"/>
    <x v="4"/>
    <s v="None"/>
    <x v="3"/>
    <s v="Advanced Training"/>
  </r>
  <r>
    <n v="2436"/>
    <s v="Tanner Morse"/>
    <x v="1"/>
    <n v="60"/>
    <x v="3"/>
    <x v="4"/>
    <x v="0"/>
    <x v="3"/>
    <s v="Adam Johnson"/>
    <s v="2015-11-16"/>
    <x v="1"/>
    <x v="2"/>
    <n v="70452"/>
    <s v="D"/>
    <n v="9911"/>
    <s v="None"/>
    <n v="2"/>
    <x v="0"/>
    <s v="None"/>
    <x v="3"/>
    <s v="Certified Professional"/>
  </r>
  <r>
    <n v="4441"/>
    <s v="Jose Griffin"/>
    <x v="1"/>
    <n v="46"/>
    <x v="4"/>
    <x v="1"/>
    <x v="3"/>
    <x v="0"/>
    <s v="Nicole Dominguez"/>
    <s v="2023-09-09"/>
    <x v="0"/>
    <x v="1"/>
    <n v="33045"/>
    <s v="B"/>
    <n v="1456"/>
    <s v="None"/>
    <n v="16"/>
    <x v="3"/>
    <s v="Excel Workshop"/>
    <x v="3"/>
    <s v="None"/>
  </r>
  <r>
    <n v="5827"/>
    <s v="Daniel Hawkins"/>
    <x v="1"/>
    <n v="57"/>
    <x v="3"/>
    <x v="2"/>
    <x v="3"/>
    <x v="1"/>
    <s v="Andrew Best"/>
    <s v="2017-12-12"/>
    <x v="2"/>
    <x v="2"/>
    <n v="96429"/>
    <s v="C"/>
    <n v="4740"/>
    <s v="None"/>
    <n v="8"/>
    <x v="0"/>
    <s v="Excel Workshop"/>
    <x v="2"/>
    <s v="None"/>
  </r>
  <r>
    <n v="5184"/>
    <s v="Elaine Mcclain"/>
    <x v="0"/>
    <n v="24"/>
    <x v="0"/>
    <x v="1"/>
    <x v="2"/>
    <x v="2"/>
    <s v="Gabrielle Rodriguez"/>
    <s v="2017-03-10"/>
    <x v="2"/>
    <x v="2"/>
    <n v="33183"/>
    <s v="A"/>
    <n v="8114"/>
    <s v="None"/>
    <n v="4"/>
    <x v="2"/>
    <s v="Excel Workshop"/>
    <x v="4"/>
    <s v="Advanced Training"/>
  </r>
  <r>
    <n v="5874"/>
    <s v="Kimberly Jones"/>
    <x v="0"/>
    <n v="35"/>
    <x v="1"/>
    <x v="4"/>
    <x v="3"/>
    <x v="0"/>
    <s v="Allison Harvey"/>
    <s v="2019-03-04"/>
    <x v="2"/>
    <x v="0"/>
    <n v="75065"/>
    <s v="C"/>
    <n v="7123"/>
    <s v="None"/>
    <n v="20"/>
    <x v="2"/>
    <s v="None"/>
    <x v="0"/>
    <s v="Advanced Training"/>
  </r>
  <r>
    <n v="9834"/>
    <s v="Thomas Kramer"/>
    <x v="1"/>
    <n v="41"/>
    <x v="2"/>
    <x v="1"/>
    <x v="1"/>
    <x v="4"/>
    <s v="Tristan Mejia"/>
    <s v="2022-11-20"/>
    <x v="0"/>
    <x v="2"/>
    <n v="32877"/>
    <s v="C"/>
    <n v="6432"/>
    <s v="Health"/>
    <n v="11"/>
    <x v="0"/>
    <s v="None"/>
    <x v="0"/>
    <s v="None"/>
  </r>
  <r>
    <n v="5096"/>
    <s v="Kevin Whitaker"/>
    <x v="1"/>
    <n v="36"/>
    <x v="2"/>
    <x v="1"/>
    <x v="4"/>
    <x v="3"/>
    <s v="Mary Welch"/>
    <s v="2021-03-02"/>
    <x v="0"/>
    <x v="1"/>
    <n v="46811"/>
    <s v="D"/>
    <n v="1567"/>
    <s v="None"/>
    <n v="7"/>
    <x v="3"/>
    <s v="Excel Workshop"/>
    <x v="0"/>
    <s v="Advanced Training"/>
  </r>
  <r>
    <n v="2263"/>
    <s v="Dustin Carter"/>
    <x v="1"/>
    <n v="31"/>
    <x v="1"/>
    <x v="3"/>
    <x v="2"/>
    <x v="1"/>
    <s v="Douglas Miles"/>
    <s v="2021-08-01"/>
    <x v="1"/>
    <x v="1"/>
    <n v="87538"/>
    <s v="C"/>
    <n v="3588"/>
    <s v="Health + Dental"/>
    <n v="11"/>
    <x v="4"/>
    <s v="Excel Workshop"/>
    <x v="2"/>
    <s v="None"/>
  </r>
  <r>
    <n v="6505"/>
    <s v="Nicole Williamson"/>
    <x v="0"/>
    <n v="28"/>
    <x v="1"/>
    <x v="0"/>
    <x v="1"/>
    <x v="4"/>
    <s v="Jessica Fleming"/>
    <s v="2015-08-14"/>
    <x v="0"/>
    <x v="1"/>
    <n v="73002"/>
    <s v="C"/>
    <n v="6296"/>
    <s v="Health"/>
    <n v="2"/>
    <x v="4"/>
    <s v="Excel Workshop"/>
    <x v="1"/>
    <s v="Certified Professional"/>
  </r>
  <r>
    <n v="8626"/>
    <s v="Matthew Knight"/>
    <x v="1"/>
    <n v="37"/>
    <x v="2"/>
    <x v="3"/>
    <x v="1"/>
    <x v="3"/>
    <s v="Christine Lee"/>
    <s v="2015-10-21"/>
    <x v="2"/>
    <x v="2"/>
    <n v="41653"/>
    <s v="D"/>
    <n v="9236"/>
    <s v="None"/>
    <n v="13"/>
    <x v="0"/>
    <s v="Excel Workshop"/>
    <x v="0"/>
    <s v="None"/>
  </r>
  <r>
    <n v="5979"/>
    <s v="Donna Jones"/>
    <x v="0"/>
    <n v="31"/>
    <x v="1"/>
    <x v="0"/>
    <x v="0"/>
    <x v="2"/>
    <s v="Mario Smith DVM"/>
    <s v="2015-03-14"/>
    <x v="1"/>
    <x v="1"/>
    <n v="67582"/>
    <s v="A"/>
    <n v="1375"/>
    <s v="Health"/>
    <n v="20"/>
    <x v="3"/>
    <s v="Excel Workshop"/>
    <x v="1"/>
    <s v="None"/>
  </r>
  <r>
    <n v="3104"/>
    <s v="Carolyn Bullock"/>
    <x v="0"/>
    <n v="23"/>
    <x v="0"/>
    <x v="3"/>
    <x v="1"/>
    <x v="1"/>
    <s v="Joseph Francis"/>
    <s v="2024-05-22"/>
    <x v="2"/>
    <x v="1"/>
    <n v="37351"/>
    <s v="D"/>
    <n v="7858"/>
    <s v="Health + Dental"/>
    <n v="18"/>
    <x v="2"/>
    <s v="Leadership Training"/>
    <x v="1"/>
    <s v="Advanced Training"/>
  </r>
  <r>
    <n v="8967"/>
    <s v="Wendy Gomez"/>
    <x v="0"/>
    <n v="48"/>
    <x v="4"/>
    <x v="4"/>
    <x v="2"/>
    <x v="0"/>
    <s v="Sarah Young"/>
    <s v="2017-03-19"/>
    <x v="0"/>
    <x v="1"/>
    <n v="36721"/>
    <s v="B"/>
    <n v="8820"/>
    <s v="Health + Dental"/>
    <n v="0"/>
    <x v="2"/>
    <s v="Excel Workshop"/>
    <x v="1"/>
    <s v="Certified Professional"/>
  </r>
  <r>
    <n v="5087"/>
    <s v="Michael Thomas"/>
    <x v="1"/>
    <n v="28"/>
    <x v="1"/>
    <x v="2"/>
    <x v="4"/>
    <x v="0"/>
    <s v="Aaron Hart"/>
    <s v="2021-09-15"/>
    <x v="1"/>
    <x v="2"/>
    <n v="46326"/>
    <s v="B"/>
    <n v="9189"/>
    <s v="Health + Dental"/>
    <n v="8"/>
    <x v="1"/>
    <s v="Leadership Training"/>
    <x v="3"/>
    <s v="Advanced Training"/>
  </r>
  <r>
    <n v="3358"/>
    <s v="Kevin Bell"/>
    <x v="1"/>
    <n v="30"/>
    <x v="1"/>
    <x v="1"/>
    <x v="3"/>
    <x v="1"/>
    <s v="Brian Boyd"/>
    <s v="2022-05-09"/>
    <x v="0"/>
    <x v="0"/>
    <n v="59007"/>
    <s v="C"/>
    <n v="3380"/>
    <s v="Health"/>
    <n v="17"/>
    <x v="3"/>
    <s v="None"/>
    <x v="4"/>
    <s v="Certified Professional"/>
  </r>
  <r>
    <n v="8256"/>
    <s v="Richard Landry"/>
    <x v="1"/>
    <n v="46"/>
    <x v="4"/>
    <x v="3"/>
    <x v="0"/>
    <x v="3"/>
    <s v="Steven Krueger"/>
    <s v="2017-06-22"/>
    <x v="0"/>
    <x v="1"/>
    <n v="52020"/>
    <s v="B"/>
    <n v="9585"/>
    <s v="Health + Dental"/>
    <n v="0"/>
    <x v="1"/>
    <s v="Excel Workshop"/>
    <x v="4"/>
    <s v="None"/>
  </r>
  <r>
    <n v="5763"/>
    <s v="George Hurley"/>
    <x v="1"/>
    <n v="44"/>
    <x v="2"/>
    <x v="1"/>
    <x v="2"/>
    <x v="1"/>
    <s v="Debra Williams"/>
    <s v="2020-11-28"/>
    <x v="2"/>
    <x v="1"/>
    <n v="98961"/>
    <s v="D"/>
    <n v="2688"/>
    <s v="Health"/>
    <n v="2"/>
    <x v="4"/>
    <s v="Excel Workshop"/>
    <x v="4"/>
    <s v="Certified Professional"/>
  </r>
  <r>
    <n v="6838"/>
    <s v="Mark Lopez"/>
    <x v="1"/>
    <n v="45"/>
    <x v="2"/>
    <x v="2"/>
    <x v="3"/>
    <x v="2"/>
    <s v="Karen Mitchell"/>
    <s v="2015-08-30"/>
    <x v="2"/>
    <x v="1"/>
    <n v="81943"/>
    <s v="C"/>
    <n v="2255"/>
    <s v="Health"/>
    <n v="18"/>
    <x v="2"/>
    <s v="None"/>
    <x v="2"/>
    <s v="Certified Professional"/>
  </r>
  <r>
    <n v="9544"/>
    <s v="Robert Williams"/>
    <x v="1"/>
    <n v="52"/>
    <x v="4"/>
    <x v="4"/>
    <x v="2"/>
    <x v="1"/>
    <s v="Joseph Sanders"/>
    <s v="2018-10-27"/>
    <x v="2"/>
    <x v="1"/>
    <n v="47627"/>
    <s v="C"/>
    <n v="1221"/>
    <s v="None"/>
    <n v="4"/>
    <x v="3"/>
    <s v="None"/>
    <x v="1"/>
    <s v="None"/>
  </r>
  <r>
    <n v="8012"/>
    <s v="Mary Schmidt"/>
    <x v="0"/>
    <n v="52"/>
    <x v="4"/>
    <x v="0"/>
    <x v="0"/>
    <x v="4"/>
    <s v="Shelly George"/>
    <s v="2018-08-26"/>
    <x v="2"/>
    <x v="1"/>
    <n v="56162"/>
    <s v="D"/>
    <n v="6560"/>
    <s v="Health + Dental"/>
    <n v="9"/>
    <x v="1"/>
    <s v="Excel Workshop"/>
    <x v="3"/>
    <s v="None"/>
  </r>
  <r>
    <n v="9374"/>
    <s v="Mary Martinez"/>
    <x v="0"/>
    <n v="42"/>
    <x v="2"/>
    <x v="1"/>
    <x v="2"/>
    <x v="2"/>
    <s v="Nicole Houston"/>
    <s v="2023-07-24"/>
    <x v="1"/>
    <x v="2"/>
    <n v="95734"/>
    <s v="C"/>
    <n v="4854"/>
    <s v="Health"/>
    <n v="13"/>
    <x v="2"/>
    <s v="Leadership Training"/>
    <x v="0"/>
    <s v="Certified Professional"/>
  </r>
  <r>
    <n v="3487"/>
    <s v="Paul Hall"/>
    <x v="1"/>
    <n v="58"/>
    <x v="3"/>
    <x v="1"/>
    <x v="1"/>
    <x v="3"/>
    <s v="Kristin Shaffer"/>
    <s v="2018-07-09"/>
    <x v="1"/>
    <x v="2"/>
    <n v="74789"/>
    <s v="C"/>
    <n v="8101"/>
    <s v="Health + Dental"/>
    <n v="14"/>
    <x v="4"/>
    <s v="Excel Workshop"/>
    <x v="2"/>
    <s v="None"/>
  </r>
  <r>
    <n v="8445"/>
    <s v="Samantha Foster"/>
    <x v="0"/>
    <n v="24"/>
    <x v="0"/>
    <x v="4"/>
    <x v="0"/>
    <x v="3"/>
    <s v="Joel Aguilar"/>
    <s v="2016-12-21"/>
    <x v="0"/>
    <x v="2"/>
    <n v="30137"/>
    <s v="B"/>
    <n v="4031"/>
    <s v="None"/>
    <n v="5"/>
    <x v="3"/>
    <s v="None"/>
    <x v="1"/>
    <s v="Certified Professional"/>
  </r>
  <r>
    <n v="1550"/>
    <s v="Timothy Aguilar"/>
    <x v="1"/>
    <n v="21"/>
    <x v="0"/>
    <x v="1"/>
    <x v="0"/>
    <x v="0"/>
    <s v="Michael Wade"/>
    <s v="2019-06-27"/>
    <x v="0"/>
    <x v="2"/>
    <n v="95510"/>
    <s v="C"/>
    <n v="6811"/>
    <s v="Health"/>
    <n v="18"/>
    <x v="1"/>
    <s v="Excel Workshop"/>
    <x v="4"/>
    <s v="Certified Professional"/>
  </r>
  <r>
    <n v="9968"/>
    <s v="Charles Andrews"/>
    <x v="1"/>
    <n v="58"/>
    <x v="3"/>
    <x v="1"/>
    <x v="3"/>
    <x v="0"/>
    <s v="Jessica Walsh"/>
    <s v="2021-08-27"/>
    <x v="1"/>
    <x v="0"/>
    <n v="80325"/>
    <s v="B"/>
    <n v="6230"/>
    <s v="Health"/>
    <n v="5"/>
    <x v="1"/>
    <s v="None"/>
    <x v="2"/>
    <s v="Advanced Training"/>
  </r>
  <r>
    <n v="8029"/>
    <s v="Veronica Nelson"/>
    <x v="0"/>
    <n v="57"/>
    <x v="3"/>
    <x v="3"/>
    <x v="4"/>
    <x v="4"/>
    <s v="Kelly Mack"/>
    <s v="2017-05-28"/>
    <x v="2"/>
    <x v="1"/>
    <n v="34109"/>
    <s v="B"/>
    <n v="9232"/>
    <s v="Health"/>
    <n v="13"/>
    <x v="3"/>
    <s v="Leadership Training"/>
    <x v="0"/>
    <s v="Certified Professional"/>
  </r>
  <r>
    <n v="8847"/>
    <s v="Chris Sanchez"/>
    <x v="1"/>
    <n v="41"/>
    <x v="2"/>
    <x v="3"/>
    <x v="3"/>
    <x v="0"/>
    <s v="John Conley"/>
    <s v="2022-01-30"/>
    <x v="2"/>
    <x v="2"/>
    <n v="73330"/>
    <s v="C"/>
    <n v="2276"/>
    <s v="Health + Dental"/>
    <n v="5"/>
    <x v="0"/>
    <s v="None"/>
    <x v="1"/>
    <s v="Advanced Training"/>
  </r>
  <r>
    <n v="1955"/>
    <s v="Cassie Galvan"/>
    <x v="0"/>
    <n v="58"/>
    <x v="3"/>
    <x v="2"/>
    <x v="2"/>
    <x v="1"/>
    <s v="Aaron Baker"/>
    <s v="2017-04-20"/>
    <x v="1"/>
    <x v="2"/>
    <n v="46567"/>
    <s v="A"/>
    <n v="2825"/>
    <s v="Health"/>
    <n v="15"/>
    <x v="3"/>
    <s v="None"/>
    <x v="4"/>
    <s v="Advanced Training"/>
  </r>
  <r>
    <n v="4522"/>
    <s v="Jessica Jones"/>
    <x v="0"/>
    <n v="36"/>
    <x v="2"/>
    <x v="0"/>
    <x v="4"/>
    <x v="0"/>
    <s v="Christopher Bass"/>
    <s v="2019-07-22"/>
    <x v="1"/>
    <x v="1"/>
    <n v="39795"/>
    <s v="A"/>
    <n v="1670"/>
    <s v="None"/>
    <n v="0"/>
    <x v="2"/>
    <s v="Excel Workshop"/>
    <x v="3"/>
    <s v="None"/>
  </r>
  <r>
    <n v="3078"/>
    <s v="Emily Walker"/>
    <x v="0"/>
    <n v="21"/>
    <x v="0"/>
    <x v="0"/>
    <x v="0"/>
    <x v="4"/>
    <s v="Sean Tucker PhD"/>
    <s v="2018-11-29"/>
    <x v="1"/>
    <x v="2"/>
    <n v="59506"/>
    <s v="A"/>
    <n v="4428"/>
    <s v="Health + Dental"/>
    <n v="0"/>
    <x v="0"/>
    <s v="None"/>
    <x v="3"/>
    <s v="Certified Professional"/>
  </r>
  <r>
    <n v="6357"/>
    <s v="Vickie Lewis"/>
    <x v="0"/>
    <n v="46"/>
    <x v="4"/>
    <x v="2"/>
    <x v="1"/>
    <x v="4"/>
    <s v="Jacob Scott"/>
    <s v="2022-11-14"/>
    <x v="1"/>
    <x v="2"/>
    <n v="49058"/>
    <s v="B"/>
    <n v="4396"/>
    <s v="None"/>
    <n v="5"/>
    <x v="0"/>
    <s v="None"/>
    <x v="3"/>
    <s v="None"/>
  </r>
  <r>
    <n v="7951"/>
    <s v="Alexis Clark"/>
    <x v="0"/>
    <n v="36"/>
    <x v="2"/>
    <x v="3"/>
    <x v="2"/>
    <x v="4"/>
    <s v="Joel Park"/>
    <s v="2016-02-23"/>
    <x v="1"/>
    <x v="0"/>
    <n v="98612"/>
    <s v="A"/>
    <n v="1168"/>
    <s v="None"/>
    <n v="9"/>
    <x v="2"/>
    <s v="Excel Workshop"/>
    <x v="0"/>
    <s v="Certified Professional"/>
  </r>
  <r>
    <n v="9228"/>
    <s v="Robert Davis"/>
    <x v="1"/>
    <n v="41"/>
    <x v="2"/>
    <x v="4"/>
    <x v="3"/>
    <x v="1"/>
    <s v="Russell Marshall"/>
    <s v="2018-05-18"/>
    <x v="2"/>
    <x v="1"/>
    <n v="38201"/>
    <s v="A"/>
    <n v="7111"/>
    <s v="Health"/>
    <n v="8"/>
    <x v="1"/>
    <s v="Leadership Training"/>
    <x v="3"/>
    <s v="None"/>
  </r>
  <r>
    <n v="8988"/>
    <s v="Daniel Brown MD"/>
    <x v="1"/>
    <n v="25"/>
    <x v="0"/>
    <x v="0"/>
    <x v="2"/>
    <x v="2"/>
    <s v="James Holden"/>
    <s v="2024-03-09"/>
    <x v="2"/>
    <x v="1"/>
    <n v="92919"/>
    <s v="D"/>
    <n v="9497"/>
    <s v="Health"/>
    <n v="7"/>
    <x v="2"/>
    <s v="None"/>
    <x v="3"/>
    <s v="Advanced Training"/>
  </r>
  <r>
    <n v="1952"/>
    <s v="Anna Payne"/>
    <x v="0"/>
    <n v="29"/>
    <x v="1"/>
    <x v="4"/>
    <x v="0"/>
    <x v="1"/>
    <s v="Thomas Murphy"/>
    <s v="2024-03-27"/>
    <x v="0"/>
    <x v="2"/>
    <n v="45188"/>
    <s v="A"/>
    <n v="9591"/>
    <s v="Health + Dental"/>
    <n v="18"/>
    <x v="3"/>
    <s v="Leadership Training"/>
    <x v="3"/>
    <s v="None"/>
  </r>
  <r>
    <n v="5760"/>
    <s v="Rhonda Pena"/>
    <x v="0"/>
    <n v="59"/>
    <x v="3"/>
    <x v="2"/>
    <x v="1"/>
    <x v="0"/>
    <s v="Mark Abbott"/>
    <s v="2019-12-23"/>
    <x v="0"/>
    <x v="1"/>
    <n v="34927"/>
    <s v="D"/>
    <n v="6996"/>
    <s v="Health + Dental"/>
    <n v="16"/>
    <x v="0"/>
    <s v="Excel Workshop"/>
    <x v="0"/>
    <s v="Certified Professional"/>
  </r>
  <r>
    <n v="5742"/>
    <s v="Nicole Gonzalez"/>
    <x v="0"/>
    <n v="27"/>
    <x v="1"/>
    <x v="0"/>
    <x v="2"/>
    <x v="3"/>
    <s v="Robin Lynch"/>
    <s v="2016-08-25"/>
    <x v="0"/>
    <x v="1"/>
    <n v="33183"/>
    <s v="A"/>
    <n v="1659"/>
    <s v="None"/>
    <n v="11"/>
    <x v="0"/>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74EE2A-904C-4226-B0DD-CCD0AB747C64}" name="TOTA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7:S40" firstHeaderRow="1" firstDataRow="1" firstDataCol="1"/>
  <pivotFields count="22">
    <pivotField showAll="0"/>
    <pivotField dataField="1" showAll="0"/>
    <pivotField axis="axisRow"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items count="5">
        <item x="1"/>
        <item f="1" x="3"/>
        <item x="0"/>
        <item x="2"/>
        <item t="default"/>
      </items>
    </pivotField>
    <pivotField showAll="0"/>
    <pivotField showAll="0"/>
    <pivotField showAll="0"/>
    <pivotField showAll="0"/>
    <pivotField showAll="0"/>
    <pivotField showAll="0"/>
    <pivotField showAll="0"/>
    <pivotField showAll="0">
      <items count="10">
        <item x="3"/>
        <item x="0"/>
        <item x="4"/>
        <item f="1" x="5"/>
        <item f="1" x="6"/>
        <item f="1" x="7"/>
        <item f="1" x="8"/>
        <item x="1"/>
        <item x="2"/>
        <item t="default"/>
      </items>
    </pivotField>
    <pivotField showAll="0"/>
    <pivotField dragToRow="0" dragToCol="0" dragToPage="0" showAll="0" defaultSubtotal="0"/>
  </pivotFields>
  <rowFields count="1">
    <field x="2"/>
  </rowFields>
  <rowItems count="3">
    <i>
      <x/>
    </i>
    <i>
      <x v="1"/>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1A721D-D0F9-439F-A0DA-5F83E86D54F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17:R21" firstHeaderRow="1" firstDataRow="1" firstDataCol="1"/>
  <pivotFields count="22">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axis="axisRow" showAll="0">
      <items count="5">
        <item x="1"/>
        <item x="0"/>
        <item x="2"/>
        <item h="1" f="1" x="3"/>
        <item t="default"/>
      </items>
    </pivotField>
    <pivotField showAll="0"/>
    <pivotField showAll="0"/>
    <pivotField showAll="0"/>
    <pivotField showAll="0"/>
    <pivotField showAll="0"/>
    <pivotField showAll="0"/>
    <pivotField showAll="0"/>
    <pivotField showAll="0">
      <items count="10">
        <item x="3"/>
        <item x="0"/>
        <item x="4"/>
        <item x="1"/>
        <item x="2"/>
        <item f="1" x="5"/>
        <item f="1" x="6"/>
        <item f="1" x="7"/>
        <item f="1" x="8"/>
        <item t="default"/>
      </items>
    </pivotField>
    <pivotField showAll="0"/>
    <pivotField dragToRow="0" dragToCol="0" dragToPage="0" showAll="0" defaultSubtotal="0"/>
  </pivotFields>
  <rowFields count="1">
    <field x="11"/>
  </rowFields>
  <rowItems count="4">
    <i>
      <x/>
    </i>
    <i>
      <x v="1"/>
    </i>
    <i>
      <x v="2"/>
    </i>
    <i t="grand">
      <x/>
    </i>
  </rowItems>
  <colItems count="1">
    <i/>
  </colItems>
  <dataFields count="1">
    <dataField name="Count of Full Name" fld="1" subtotal="count" baseField="0" baseItem="0"/>
  </dataFields>
  <chartFormats count="5">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1" count="1" selected="0">
            <x v="2"/>
          </reference>
        </references>
      </pivotArea>
    </chartFormat>
    <chartFormat chart="12" format="4">
      <pivotArea type="data" outline="0" fieldPosition="0">
        <references count="2">
          <reference field="4294967294" count="1" selected="0">
            <x v="0"/>
          </reference>
          <reference field="11" count="1" selected="0">
            <x v="1"/>
          </reference>
        </references>
      </pivotArea>
    </chartFormat>
    <chartFormat chart="12" format="5">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5E7134-CA7C-45EB-826D-15C0CB9F967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16:N23" firstHeaderRow="1" firstDataRow="2" firstDataCol="1"/>
  <pivotFields count="22">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items count="5">
        <item x="1"/>
        <item x="0"/>
        <item x="2"/>
        <item f="1" x="3"/>
        <item t="default"/>
      </items>
    </pivotField>
    <pivotField showAll="0"/>
    <pivotField showAll="0"/>
    <pivotField showAll="0"/>
    <pivotField showAll="0"/>
    <pivotField showAll="0"/>
    <pivotField showAll="0"/>
    <pivotField showAll="0"/>
    <pivotField showAll="0">
      <items count="10">
        <item x="3"/>
        <item x="0"/>
        <item x="4"/>
        <item x="1"/>
        <item x="2"/>
        <item f="1" x="5"/>
        <item f="1" x="6"/>
        <item f="1" x="7"/>
        <item f="1" x="8"/>
        <item t="default"/>
      </items>
    </pivotField>
    <pivotField showAll="0"/>
    <pivotField dragToRow="0" dragToCol="0" dragToPage="0" showAll="0" defaultSubtota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4">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5C8B92-37CF-496F-A6B0-F0C6976F01D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H11" firstHeaderRow="0" firstDataRow="1" firstDataCol="1"/>
  <pivotFields count="22">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items count="5">
        <item x="1"/>
        <item x="0"/>
        <item x="2"/>
        <item f="1" x="3"/>
        <item t="default"/>
      </items>
    </pivotField>
    <pivotField dataField="1" showAll="0"/>
    <pivotField showAll="0"/>
    <pivotField showAll="0"/>
    <pivotField showAll="0"/>
    <pivotField dataField="1" showAll="0"/>
    <pivotField showAll="0"/>
    <pivotField showAll="0"/>
    <pivotField showAll="0">
      <items count="10">
        <item x="3"/>
        <item x="0"/>
        <item x="4"/>
        <item x="1"/>
        <item x="2"/>
        <item f="1" x="5"/>
        <item f="1" x="6"/>
        <item f="1" x="7"/>
        <item f="1" x="8"/>
        <item t="default"/>
      </items>
    </pivotField>
    <pivotField showAll="0"/>
    <pivotField dragToRow="0" dragToCol="0" dragToPage="0" showAll="0" defaultSubtota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DACDDF-860D-4461-8E6F-A4BA403A9DA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9:L45" firstHeaderRow="1" firstDataRow="1" firstDataCol="1"/>
  <pivotFields count="22">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items count="5">
        <item x="1"/>
        <item f="1" x="3"/>
        <item x="0"/>
        <item x="2"/>
        <item t="default"/>
      </items>
    </pivotField>
    <pivotField showAll="0"/>
    <pivotField showAll="0"/>
    <pivotField showAll="0"/>
    <pivotField showAll="0"/>
    <pivotField dataField="1" showAll="0"/>
    <pivotField showAll="0"/>
    <pivotField showAll="0"/>
    <pivotField showAll="0">
      <items count="10">
        <item x="3"/>
        <item x="0"/>
        <item x="4"/>
        <item f="1" x="5"/>
        <item f="1" x="6"/>
        <item f="1" x="7"/>
        <item f="1" x="8"/>
        <item x="1"/>
        <item x="2"/>
        <item t="default"/>
      </items>
    </pivotField>
    <pivotField showAll="0"/>
    <pivotField dragToRow="0" dragToCol="0" dragToPage="0" showAll="0" defaultSubtotal="0"/>
  </pivotFields>
  <rowFields count="1">
    <field x="6"/>
  </rowFields>
  <rowItems count="6">
    <i>
      <x/>
    </i>
    <i>
      <x v="1"/>
    </i>
    <i>
      <x v="2"/>
    </i>
    <i>
      <x v="3"/>
    </i>
    <i>
      <x v="4"/>
    </i>
    <i t="grand">
      <x/>
    </i>
  </rowItems>
  <colItems count="1">
    <i/>
  </colItems>
  <dataFields count="1">
    <dataField name="Sum of Leave Taken" fld="16"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0"/>
          </reference>
        </references>
      </pivotArea>
    </chartFormat>
    <chartFormat chart="3" format="4">
      <pivotArea type="data" outline="0" fieldPosition="0">
        <references count="2">
          <reference field="4294967294" count="1" selected="0">
            <x v="0"/>
          </reference>
          <reference field="6" count="1" selected="0">
            <x v="1"/>
          </reference>
        </references>
      </pivotArea>
    </chartFormat>
    <chartFormat chart="3" format="5">
      <pivotArea type="data" outline="0" fieldPosition="0">
        <references count="2">
          <reference field="4294967294" count="1" selected="0">
            <x v="0"/>
          </reference>
          <reference field="6" count="1" selected="0">
            <x v="2"/>
          </reference>
        </references>
      </pivotArea>
    </chartFormat>
    <chartFormat chart="3" format="6">
      <pivotArea type="data" outline="0" fieldPosition="0">
        <references count="2">
          <reference field="4294967294" count="1" selected="0">
            <x v="0"/>
          </reference>
          <reference field="6" count="1" selected="0">
            <x v="3"/>
          </reference>
        </references>
      </pivotArea>
    </chartFormat>
    <chartFormat chart="3" format="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5DF3D1-17F7-4472-98F0-D10F23DB071D}"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A31" firstHeaderRow="1" firstDataRow="1" firstDataCol="0"/>
  <pivotFields count="22">
    <pivotField showAll="0"/>
    <pivotField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items count="5">
        <item x="1"/>
        <item f="1" x="3"/>
        <item x="0"/>
        <item x="2"/>
        <item t="default"/>
      </items>
    </pivotField>
    <pivotField showAll="0"/>
    <pivotField showAll="0"/>
    <pivotField showAll="0"/>
    <pivotField showAll="0"/>
    <pivotField showAll="0"/>
    <pivotField dataField="1" showAll="0">
      <items count="6">
        <item x="0"/>
        <item x="2"/>
        <item x="3"/>
        <item x="1"/>
        <item x="4"/>
        <item t="default"/>
      </items>
    </pivotField>
    <pivotField showAll="0"/>
    <pivotField showAll="0">
      <items count="10">
        <item x="3"/>
        <item x="0"/>
        <item x="4"/>
        <item f="1" x="5"/>
        <item f="1" x="6"/>
        <item f="1" x="7"/>
        <item f="1" x="8"/>
        <item x="1"/>
        <item x="2"/>
        <item t="default"/>
      </items>
    </pivotField>
    <pivotField showAll="0"/>
    <pivotField dragToRow="0" dragToCol="0" dragToPage="0" showAll="0" defaultSubtotal="0"/>
  </pivotFields>
  <rowItems count="1">
    <i/>
  </rowItems>
  <colItems count="1">
    <i/>
  </colItems>
  <dataFields count="1">
    <dataField name="Sum of Performance Rating"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A077A4-73AA-45FB-9470-4FB1EFDA90A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7" firstHeaderRow="1" firstDataRow="1" firstDataCol="1"/>
  <pivotFields count="22">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items count="5">
        <item x="1"/>
        <item x="0"/>
        <item x="2"/>
        <item f="1" x="3"/>
        <item t="default"/>
      </items>
    </pivotField>
    <pivotField showAll="0"/>
    <pivotField showAll="0"/>
    <pivotField showAll="0"/>
    <pivotField showAll="0"/>
    <pivotField showAll="0"/>
    <pivotField showAll="0"/>
    <pivotField showAll="0"/>
    <pivotField showAll="0">
      <items count="10">
        <item x="3"/>
        <item x="0"/>
        <item x="4"/>
        <item x="1"/>
        <item x="2"/>
        <item f="1" x="5"/>
        <item f="1" x="6"/>
        <item f="1" x="7"/>
        <item f="1" x="8"/>
        <item t="default"/>
      </items>
    </pivotField>
    <pivotField showAll="0"/>
    <pivotField dragToRow="0" dragToCol="0" dragToPage="0" showAll="0" defaultSubtota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9B92EF-4EF7-4C57-B120-6269C909123C}" name="region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4" firstHeaderRow="1" firstDataRow="1" firstDataCol="1"/>
  <pivotFields count="22">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items count="5">
        <item x="1"/>
        <item f="1" x="3"/>
        <item x="0"/>
        <item x="2"/>
        <item t="default"/>
      </items>
    </pivotField>
    <pivotField showAll="0"/>
    <pivotField showAll="0"/>
    <pivotField showAll="0"/>
    <pivotField showAll="0"/>
    <pivotField showAll="0"/>
    <pivotField showAll="0"/>
    <pivotField showAll="0"/>
    <pivotField showAll="0">
      <items count="10">
        <item x="3"/>
        <item x="0"/>
        <item x="4"/>
        <item f="1" x="5"/>
        <item f="1" x="6"/>
        <item f="1" x="7"/>
        <item f="1" x="8"/>
        <item x="1"/>
        <item x="2"/>
        <item t="default"/>
      </items>
    </pivotField>
    <pivotField showAll="0"/>
    <pivotField dragToRow="0" dragToCol="0" dragToPage="0" showAll="0" defaultSubtotal="0"/>
  </pivotFields>
  <rowFields count="1">
    <field x="5"/>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7817FB-4A50-49D2-9CD4-505800B1C3B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7:V13" firstHeaderRow="1" firstDataRow="1" firstDataCol="1"/>
  <pivotFields count="22">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items count="5">
        <item x="1"/>
        <item f="1" x="3"/>
        <item x="0"/>
        <item x="2"/>
        <item t="default"/>
      </items>
    </pivotField>
    <pivotField showAll="0"/>
    <pivotField showAll="0"/>
    <pivotField showAll="0"/>
    <pivotField showAll="0"/>
    <pivotField showAll="0"/>
    <pivotField showAll="0"/>
    <pivotField showAll="0"/>
    <pivotField axis="axisRow" showAll="0">
      <items count="10">
        <item x="3"/>
        <item h="1" f="1" x="5"/>
        <item h="1" f="1" x="6"/>
        <item h="1" f="1" x="7"/>
        <item h="1" f="1" x="8"/>
        <item x="0"/>
        <item x="4"/>
        <item x="1"/>
        <item x="2"/>
        <item t="default"/>
      </items>
    </pivotField>
    <pivotField showAll="0"/>
    <pivotField dragToRow="0" dragToCol="0" dragToPage="0" showAll="0" defaultSubtotal="0"/>
  </pivotFields>
  <rowFields count="1">
    <field x="19"/>
  </rowFields>
  <rowItems count="6">
    <i>
      <x/>
    </i>
    <i>
      <x v="5"/>
    </i>
    <i>
      <x v="6"/>
    </i>
    <i>
      <x v="7"/>
    </i>
    <i>
      <x v="8"/>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7EB6FF5-A821-484B-A1AD-C0B892C4B990}" sourceName="Department">
  <pivotTables>
    <pivotTable tabId="3" name="PivotTable2"/>
    <pivotTable tabId="3" name="PivotTable1"/>
    <pivotTable tabId="3" name="PivotTable11"/>
    <pivotTable tabId="3" name="PivotTable3"/>
    <pivotTable tabId="3" name="PivotTable4"/>
    <pivotTable tabId="3" name="PivotTable5"/>
    <pivotTable tabId="3" name="PivotTable6"/>
    <pivotTable tabId="3" name="regions"/>
    <pivotTable tabId="3" name="TOTAL"/>
  </pivotTables>
  <data>
    <tabular pivotCacheId="154682233">
      <items count="5">
        <i x="0" s="1"/>
        <i x="1"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E8ECBC6-265E-46CC-A725-78896C03696A}" sourceName="Gender">
  <pivotTables>
    <pivotTable tabId="3" name="PivotTable6"/>
    <pivotTable tabId="3" name="PivotTable1"/>
    <pivotTable tabId="3" name="PivotTable11"/>
    <pivotTable tabId="3" name="PivotTable2"/>
    <pivotTable tabId="3" name="PivotTable3"/>
    <pivotTable tabId="3" name="PivotTable4"/>
    <pivotTable tabId="3" name="PivotTable5"/>
    <pivotTable tabId="3" name="regions"/>
    <pivotTable tabId="3" name="TOTAL"/>
  </pivotTables>
  <data>
    <tabular pivotCacheId="15468223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5A25DF0A-E98C-4E8B-AF18-0B5CE0E705D5}" cache="Slicer_Department1" caption="Department" style="Slicer Style 1" rowHeight="257175"/>
  <slicer name="Gender 2" xr10:uid="{D880289D-C2E8-4200-BBFE-E33C0E5249A9}" cache="Slicer_Gender1" caption="Gender"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241F293-2FDE-4B36-86AF-76ADA5441AD9}" cache="Slicer_Department1" caption="Department" rowHeight="257175"/>
  <slicer name="Gender 1" xr10:uid="{54D7AD5E-E799-4A08-ACAD-A12D178FD134}" cache="Slicer_Gender1" caption="Gend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F55E2B-C93E-4060-95D8-7EDD505A3B69}" name="Table4" displayName="Table4" ref="A1:U51" totalsRowShown="0" dataDxfId="22" tableBorderDxfId="21">
  <autoFilter ref="A1:U51" xr:uid="{ABF55E2B-C93E-4060-95D8-7EDD505A3B69}"/>
  <tableColumns count="21">
    <tableColumn id="1" xr3:uid="{157959E1-632C-4040-91B7-1620132644CD}" name="Employee ID" dataDxfId="20"/>
    <tableColumn id="2" xr3:uid="{F2A09B1F-A0D6-4277-B471-4178DE573E8F}" name="Full Name" dataDxfId="19"/>
    <tableColumn id="3" xr3:uid="{D62B0A20-1C63-4764-A3F8-B03A759A483D}" name="Gender" dataDxfId="18"/>
    <tableColumn id="4" xr3:uid="{909B59FA-49A4-40A7-99A5-5670E64EE2A1}" name="Age" dataDxfId="17"/>
    <tableColumn id="5" xr3:uid="{4A646910-E635-481E-BBA1-AFACEAD3FC47}" name="Age range" dataDxfId="16"/>
    <tableColumn id="6" xr3:uid="{1356B349-C530-4F5B-9F98-1A1F1CF5D7E3}" name="Region" dataDxfId="15"/>
    <tableColumn id="7" xr3:uid="{9E486ED0-8666-4C7C-BED7-EF64679F37D3}" name="Job Title" dataDxfId="14"/>
    <tableColumn id="8" xr3:uid="{3567F042-ADD1-4B81-827F-FBBD8C0BEEB7}" name="Department" dataDxfId="13"/>
    <tableColumn id="9" xr3:uid="{FF74F21D-E485-4D1D-B230-9BDE279A0BF8}" name="Manager/Supervisor" dataDxfId="12"/>
    <tableColumn id="10" xr3:uid="{7BD0FD40-6AF0-4301-9D73-9CFBBE968D0F}" name="Date of Hire" dataDxfId="11"/>
    <tableColumn id="11" xr3:uid="{4EE18072-E1D9-42D9-82F7-C75571156A48}" name="Employment Status" dataDxfId="10"/>
    <tableColumn id="12" xr3:uid="{B33AD40E-5802-43F3-A3DE-D919BD58D3EF}" name="Work Location" dataDxfId="9"/>
    <tableColumn id="13" xr3:uid="{B5C37081-501F-4792-8F01-CE4C173611DE}" name="Salary" dataDxfId="8"/>
    <tableColumn id="14" xr3:uid="{E5889E25-5A89-462E-B101-6478C448082D}" name="Pay Grade" dataDxfId="7"/>
    <tableColumn id="15" xr3:uid="{2024499D-F2D5-4B74-8D61-F4530B352E98}" name="Bonus/Allowances" dataDxfId="6"/>
    <tableColumn id="16" xr3:uid="{9EAF0DE9-A846-40DE-A013-7FE5D45C52F9}" name="Insurance Details" dataDxfId="5"/>
    <tableColumn id="17" xr3:uid="{5644F7E4-16B9-4D7F-9FAF-02373F978B7F}" name="Leave Taken" dataDxfId="4"/>
    <tableColumn id="18" xr3:uid="{A6ED3EDA-19BF-49A6-827B-A7C64B3799D8}" name="Performance Rating" dataDxfId="3"/>
    <tableColumn id="19" xr3:uid="{DB418B10-F1AC-4790-A06E-6F96F2B4B48A}" name="Training Programs Attended" dataDxfId="2"/>
    <tableColumn id="20" xr3:uid="{4E629108-77FC-4DCA-8F56-E89D6EC8BFFD}" name="Skills" dataDxfId="1"/>
    <tableColumn id="21" xr3:uid="{92EEB6D2-2994-433D-9AF4-D7F8D92501E7}" name="Certifications"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F1E73-0C80-4A83-BECD-B32F1F61AEC3}">
  <dimension ref="B7:T19"/>
  <sheetViews>
    <sheetView showGridLines="0" tabSelected="1" topLeftCell="A4" zoomScaleNormal="100" workbookViewId="0">
      <selection activeCell="R4" activeCellId="1" sqref="L15 R4"/>
    </sheetView>
    <sheetView tabSelected="1" workbookViewId="1">
      <selection activeCell="T11" sqref="T11"/>
    </sheetView>
  </sheetViews>
  <sheetFormatPr defaultRowHeight="15"/>
  <cols>
    <col min="1" max="14" width="9.140625" style="1"/>
    <col min="15" max="15" width="11.28515625" style="1" customWidth="1"/>
    <col min="16" max="16384" width="9.140625" style="1"/>
  </cols>
  <sheetData>
    <row r="7" spans="2:2">
      <c r="B7" s="1" t="s">
        <v>0</v>
      </c>
    </row>
    <row r="19" spans="20:20">
      <c r="T19"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B2913-AEAD-443D-892F-3C65A4201FA5}">
  <dimension ref="A1:U51"/>
  <sheetViews>
    <sheetView topLeftCell="A2" workbookViewId="0">
      <selection sqref="A1:U51"/>
    </sheetView>
    <sheetView workbookViewId="1">
      <selection activeCell="D17" sqref="D17"/>
    </sheetView>
  </sheetViews>
  <sheetFormatPr defaultRowHeight="15"/>
  <cols>
    <col min="1" max="1" width="13.85546875" customWidth="1"/>
    <col min="2" max="2" width="17.85546875" bestFit="1" customWidth="1"/>
    <col min="3" max="3" width="9.42578125" customWidth="1"/>
    <col min="5" max="5" width="11.7109375" customWidth="1"/>
    <col min="7" max="7" width="10.28515625" customWidth="1"/>
    <col min="8" max="8" width="13.42578125" customWidth="1"/>
    <col min="9" max="9" width="20.85546875" customWidth="1"/>
    <col min="10" max="10" width="13.28515625" customWidth="1"/>
    <col min="11" max="11" width="19.85546875" customWidth="1"/>
    <col min="12" max="12" width="15.7109375" customWidth="1"/>
    <col min="14" max="14" width="12" customWidth="1"/>
    <col min="15" max="15" width="19.5703125" customWidth="1"/>
    <col min="16" max="16" width="18.5703125" customWidth="1"/>
    <col min="17" max="17" width="13.7109375" customWidth="1"/>
    <col min="18" max="18" width="20.42578125" customWidth="1"/>
    <col min="19" max="19" width="27.5703125" customWidth="1"/>
    <col min="20" max="20" width="15.85546875" bestFit="1" customWidth="1"/>
    <col min="21" max="21" width="14.85546875" customWidth="1"/>
  </cols>
  <sheetData>
    <row r="1" spans="1:21">
      <c r="A1" t="s">
        <v>194</v>
      </c>
      <c r="B1" t="s">
        <v>195</v>
      </c>
      <c r="C1" t="s">
        <v>196</v>
      </c>
      <c r="D1" t="s">
        <v>197</v>
      </c>
      <c r="E1" t="s">
        <v>198</v>
      </c>
      <c r="F1" t="s">
        <v>199</v>
      </c>
      <c r="G1" t="s">
        <v>200</v>
      </c>
      <c r="H1" t="s">
        <v>201</v>
      </c>
      <c r="I1" t="s">
        <v>202</v>
      </c>
      <c r="J1" t="s">
        <v>203</v>
      </c>
      <c r="K1" t="s">
        <v>204</v>
      </c>
      <c r="L1" t="s">
        <v>205</v>
      </c>
      <c r="M1" t="s">
        <v>206</v>
      </c>
      <c r="N1" t="s">
        <v>207</v>
      </c>
      <c r="O1" t="s">
        <v>208</v>
      </c>
      <c r="P1" t="s">
        <v>209</v>
      </c>
      <c r="Q1" t="s">
        <v>210</v>
      </c>
      <c r="R1" t="s">
        <v>211</v>
      </c>
      <c r="S1" t="s">
        <v>212</v>
      </c>
      <c r="T1" t="s">
        <v>213</v>
      </c>
      <c r="U1" t="s">
        <v>214</v>
      </c>
    </row>
    <row r="2" spans="1:21">
      <c r="A2" s="2">
        <v>4294</v>
      </c>
      <c r="B2" s="2" t="s">
        <v>1</v>
      </c>
      <c r="C2" s="2" t="s">
        <v>2</v>
      </c>
      <c r="D2" s="2">
        <v>25</v>
      </c>
      <c r="E2" s="2" t="s">
        <v>3</v>
      </c>
      <c r="F2" s="2" t="s">
        <v>4</v>
      </c>
      <c r="G2" s="2" t="s">
        <v>5</v>
      </c>
      <c r="H2" s="2" t="s">
        <v>6</v>
      </c>
      <c r="I2" s="2" t="s">
        <v>7</v>
      </c>
      <c r="J2" s="2" t="s">
        <v>8</v>
      </c>
      <c r="K2" s="2" t="s">
        <v>9</v>
      </c>
      <c r="L2" s="2" t="s">
        <v>10</v>
      </c>
      <c r="M2" s="2">
        <v>53700</v>
      </c>
      <c r="N2" s="2" t="s">
        <v>11</v>
      </c>
      <c r="O2" s="2">
        <v>1463</v>
      </c>
      <c r="P2" s="2" t="s">
        <v>12</v>
      </c>
      <c r="Q2" s="2">
        <v>1</v>
      </c>
      <c r="R2" s="2">
        <v>1</v>
      </c>
      <c r="S2" s="2" t="s">
        <v>13</v>
      </c>
      <c r="T2" s="2" t="s">
        <v>14</v>
      </c>
      <c r="U2" s="2" t="s">
        <v>15</v>
      </c>
    </row>
    <row r="3" spans="1:21">
      <c r="A3" s="2">
        <v>9116</v>
      </c>
      <c r="B3" s="2" t="s">
        <v>16</v>
      </c>
      <c r="C3" s="2" t="s">
        <v>17</v>
      </c>
      <c r="D3" s="2">
        <v>27</v>
      </c>
      <c r="E3" s="2" t="s">
        <v>18</v>
      </c>
      <c r="F3" s="2" t="s">
        <v>19</v>
      </c>
      <c r="G3" s="2" t="s">
        <v>20</v>
      </c>
      <c r="H3" s="2" t="s">
        <v>21</v>
      </c>
      <c r="I3" s="2" t="s">
        <v>22</v>
      </c>
      <c r="J3" s="2" t="s">
        <v>23</v>
      </c>
      <c r="K3" s="2" t="s">
        <v>9</v>
      </c>
      <c r="L3" s="2" t="s">
        <v>24</v>
      </c>
      <c r="M3" s="2">
        <v>91091</v>
      </c>
      <c r="N3" s="2" t="s">
        <v>25</v>
      </c>
      <c r="O3" s="2">
        <v>1024</v>
      </c>
      <c r="P3" s="2" t="s">
        <v>26</v>
      </c>
      <c r="Q3" s="2">
        <v>19</v>
      </c>
      <c r="R3" s="2">
        <v>4</v>
      </c>
      <c r="S3" s="2" t="s">
        <v>27</v>
      </c>
      <c r="T3" s="2" t="s">
        <v>14</v>
      </c>
      <c r="U3" s="2" t="s">
        <v>15</v>
      </c>
    </row>
    <row r="4" spans="1:21">
      <c r="A4" s="2">
        <v>5120</v>
      </c>
      <c r="B4" s="2" t="s">
        <v>28</v>
      </c>
      <c r="C4" s="2" t="s">
        <v>17</v>
      </c>
      <c r="D4" s="2">
        <v>34</v>
      </c>
      <c r="E4" s="2" t="s">
        <v>18</v>
      </c>
      <c r="F4" s="2" t="s">
        <v>29</v>
      </c>
      <c r="G4" s="2" t="s">
        <v>30</v>
      </c>
      <c r="H4" s="2" t="s">
        <v>31</v>
      </c>
      <c r="I4" s="2" t="s">
        <v>32</v>
      </c>
      <c r="J4" s="2" t="s">
        <v>33</v>
      </c>
      <c r="K4" s="2" t="s">
        <v>9</v>
      </c>
      <c r="L4" s="2" t="s">
        <v>34</v>
      </c>
      <c r="M4" s="2">
        <v>57538</v>
      </c>
      <c r="N4" s="2" t="s">
        <v>35</v>
      </c>
      <c r="O4" s="2">
        <v>1674</v>
      </c>
      <c r="P4" s="2" t="s">
        <v>26</v>
      </c>
      <c r="Q4" s="2">
        <v>8</v>
      </c>
      <c r="R4" s="2">
        <v>1</v>
      </c>
      <c r="S4" s="2" t="s">
        <v>26</v>
      </c>
      <c r="T4" s="2" t="s">
        <v>36</v>
      </c>
      <c r="U4" s="2" t="s">
        <v>37</v>
      </c>
    </row>
    <row r="5" spans="1:21">
      <c r="A5" s="2">
        <v>8071</v>
      </c>
      <c r="B5" s="2" t="s">
        <v>38</v>
      </c>
      <c r="C5" s="2" t="s">
        <v>2</v>
      </c>
      <c r="D5" s="2">
        <v>41</v>
      </c>
      <c r="E5" s="2" t="s">
        <v>39</v>
      </c>
      <c r="F5" s="2" t="s">
        <v>29</v>
      </c>
      <c r="G5" s="2" t="s">
        <v>5</v>
      </c>
      <c r="H5" s="2" t="s">
        <v>40</v>
      </c>
      <c r="I5" s="2" t="s">
        <v>41</v>
      </c>
      <c r="J5" s="2" t="s">
        <v>42</v>
      </c>
      <c r="K5" s="2" t="s">
        <v>43</v>
      </c>
      <c r="L5" s="2" t="s">
        <v>10</v>
      </c>
      <c r="M5" s="2">
        <v>62993</v>
      </c>
      <c r="N5" s="2" t="s">
        <v>44</v>
      </c>
      <c r="O5" s="2">
        <v>2695</v>
      </c>
      <c r="P5" s="2" t="s">
        <v>45</v>
      </c>
      <c r="Q5" s="2">
        <v>0</v>
      </c>
      <c r="R5" s="2">
        <v>2</v>
      </c>
      <c r="S5" s="2" t="s">
        <v>26</v>
      </c>
      <c r="T5" s="2" t="s">
        <v>46</v>
      </c>
      <c r="U5" s="2" t="s">
        <v>26</v>
      </c>
    </row>
    <row r="6" spans="1:21">
      <c r="A6" s="2">
        <v>9351</v>
      </c>
      <c r="B6" s="2" t="s">
        <v>47</v>
      </c>
      <c r="C6" s="2" t="s">
        <v>17</v>
      </c>
      <c r="D6" s="2">
        <v>56</v>
      </c>
      <c r="E6" s="2" t="s">
        <v>48</v>
      </c>
      <c r="F6" s="2" t="s">
        <v>4</v>
      </c>
      <c r="G6" s="2" t="s">
        <v>5</v>
      </c>
      <c r="H6" s="2" t="s">
        <v>31</v>
      </c>
      <c r="I6" s="2" t="s">
        <v>49</v>
      </c>
      <c r="J6" s="2" t="s">
        <v>50</v>
      </c>
      <c r="K6" s="2" t="s">
        <v>43</v>
      </c>
      <c r="L6" s="2" t="s">
        <v>24</v>
      </c>
      <c r="M6" s="2">
        <v>45773</v>
      </c>
      <c r="N6" s="2" t="s">
        <v>44</v>
      </c>
      <c r="O6" s="2">
        <v>8776</v>
      </c>
      <c r="P6" s="2" t="s">
        <v>12</v>
      </c>
      <c r="Q6" s="2">
        <v>16</v>
      </c>
      <c r="R6" s="2">
        <v>4</v>
      </c>
      <c r="S6" s="2" t="s">
        <v>13</v>
      </c>
      <c r="T6" s="2" t="s">
        <v>46</v>
      </c>
      <c r="U6" s="2" t="s">
        <v>26</v>
      </c>
    </row>
    <row r="7" spans="1:21">
      <c r="A7" s="2">
        <v>2873</v>
      </c>
      <c r="B7" s="2" t="s">
        <v>51</v>
      </c>
      <c r="C7" s="2" t="s">
        <v>2</v>
      </c>
      <c r="D7" s="2">
        <v>28</v>
      </c>
      <c r="E7" s="2" t="s">
        <v>18</v>
      </c>
      <c r="F7" s="2" t="s">
        <v>29</v>
      </c>
      <c r="G7" s="2" t="s">
        <v>52</v>
      </c>
      <c r="H7" s="2" t="s">
        <v>31</v>
      </c>
      <c r="I7" s="2" t="s">
        <v>53</v>
      </c>
      <c r="J7" s="2" t="s">
        <v>54</v>
      </c>
      <c r="K7" s="2" t="s">
        <v>9</v>
      </c>
      <c r="L7" s="2" t="s">
        <v>24</v>
      </c>
      <c r="M7" s="2">
        <v>96249</v>
      </c>
      <c r="N7" s="2" t="s">
        <v>11</v>
      </c>
      <c r="O7" s="2">
        <v>4826</v>
      </c>
      <c r="P7" s="2" t="s">
        <v>45</v>
      </c>
      <c r="Q7" s="2">
        <v>7</v>
      </c>
      <c r="R7" s="2">
        <v>3</v>
      </c>
      <c r="S7" s="2" t="s">
        <v>13</v>
      </c>
      <c r="T7" s="2" t="s">
        <v>55</v>
      </c>
      <c r="U7" s="2" t="s">
        <v>15</v>
      </c>
    </row>
    <row r="8" spans="1:21">
      <c r="A8" s="2">
        <v>3540</v>
      </c>
      <c r="B8" s="2" t="s">
        <v>56</v>
      </c>
      <c r="C8" s="2" t="s">
        <v>2</v>
      </c>
      <c r="D8" s="2">
        <v>20</v>
      </c>
      <c r="E8" s="2" t="s">
        <v>3</v>
      </c>
      <c r="F8" s="2" t="s">
        <v>19</v>
      </c>
      <c r="G8" s="2" t="s">
        <v>30</v>
      </c>
      <c r="H8" s="2" t="s">
        <v>31</v>
      </c>
      <c r="I8" s="2" t="s">
        <v>57</v>
      </c>
      <c r="J8" s="2" t="s">
        <v>58</v>
      </c>
      <c r="K8" s="2" t="s">
        <v>9</v>
      </c>
      <c r="L8" s="2" t="s">
        <v>34</v>
      </c>
      <c r="M8" s="2">
        <v>61596</v>
      </c>
      <c r="N8" s="2" t="s">
        <v>11</v>
      </c>
      <c r="O8" s="2">
        <v>8818</v>
      </c>
      <c r="P8" s="2" t="s">
        <v>45</v>
      </c>
      <c r="Q8" s="2">
        <v>4</v>
      </c>
      <c r="R8" s="2">
        <v>2</v>
      </c>
      <c r="S8" s="2" t="s">
        <v>13</v>
      </c>
      <c r="T8" s="2" t="s">
        <v>36</v>
      </c>
      <c r="U8" s="2" t="s">
        <v>26</v>
      </c>
    </row>
    <row r="9" spans="1:21">
      <c r="A9" s="2">
        <v>3653</v>
      </c>
      <c r="B9" s="2" t="s">
        <v>59</v>
      </c>
      <c r="C9" s="2" t="s">
        <v>2</v>
      </c>
      <c r="D9" s="2">
        <v>58</v>
      </c>
      <c r="E9" s="2" t="s">
        <v>48</v>
      </c>
      <c r="F9" s="2" t="s">
        <v>60</v>
      </c>
      <c r="G9" s="2" t="s">
        <v>20</v>
      </c>
      <c r="H9" s="2" t="s">
        <v>61</v>
      </c>
      <c r="I9" s="2" t="s">
        <v>62</v>
      </c>
      <c r="J9" s="2" t="s">
        <v>63</v>
      </c>
      <c r="K9" s="2" t="s">
        <v>9</v>
      </c>
      <c r="L9" s="2" t="s">
        <v>34</v>
      </c>
      <c r="M9" s="2">
        <v>97869</v>
      </c>
      <c r="N9" s="2" t="s">
        <v>44</v>
      </c>
      <c r="O9" s="2">
        <v>1966</v>
      </c>
      <c r="P9" s="2" t="s">
        <v>12</v>
      </c>
      <c r="Q9" s="2">
        <v>10</v>
      </c>
      <c r="R9" s="2">
        <v>1</v>
      </c>
      <c r="S9" s="2" t="s">
        <v>13</v>
      </c>
      <c r="T9" s="2" t="s">
        <v>14</v>
      </c>
      <c r="U9" s="2" t="s">
        <v>15</v>
      </c>
    </row>
    <row r="10" spans="1:21">
      <c r="A10" s="2">
        <v>5587</v>
      </c>
      <c r="B10" s="2" t="s">
        <v>64</v>
      </c>
      <c r="C10" s="2" t="s">
        <v>2</v>
      </c>
      <c r="D10" s="2">
        <v>44</v>
      </c>
      <c r="E10" s="2" t="s">
        <v>39</v>
      </c>
      <c r="F10" s="2" t="s">
        <v>60</v>
      </c>
      <c r="G10" s="2" t="s">
        <v>30</v>
      </c>
      <c r="H10" s="2" t="s">
        <v>31</v>
      </c>
      <c r="I10" s="2" t="s">
        <v>65</v>
      </c>
      <c r="J10" s="2" t="s">
        <v>66</v>
      </c>
      <c r="K10" s="2" t="s">
        <v>9</v>
      </c>
      <c r="L10" s="2" t="s">
        <v>10</v>
      </c>
      <c r="M10" s="2">
        <v>81235</v>
      </c>
      <c r="N10" s="2" t="s">
        <v>44</v>
      </c>
      <c r="O10" s="2">
        <v>6553</v>
      </c>
      <c r="P10" s="2" t="s">
        <v>26</v>
      </c>
      <c r="Q10" s="2">
        <v>16</v>
      </c>
      <c r="R10" s="2">
        <v>2</v>
      </c>
      <c r="S10" s="2" t="s">
        <v>26</v>
      </c>
      <c r="T10" s="2" t="s">
        <v>36</v>
      </c>
      <c r="U10" s="2" t="s">
        <v>15</v>
      </c>
    </row>
    <row r="11" spans="1:21">
      <c r="A11" s="2">
        <v>9554</v>
      </c>
      <c r="B11" s="2" t="s">
        <v>67</v>
      </c>
      <c r="C11" s="2" t="s">
        <v>2</v>
      </c>
      <c r="D11" s="2">
        <v>29</v>
      </c>
      <c r="E11" s="2" t="s">
        <v>18</v>
      </c>
      <c r="F11" s="2" t="s">
        <v>19</v>
      </c>
      <c r="G11" s="2" t="s">
        <v>30</v>
      </c>
      <c r="H11" s="2" t="s">
        <v>40</v>
      </c>
      <c r="I11" s="2" t="s">
        <v>68</v>
      </c>
      <c r="J11" s="2" t="s">
        <v>69</v>
      </c>
      <c r="K11" s="2" t="s">
        <v>9</v>
      </c>
      <c r="L11" s="2" t="s">
        <v>24</v>
      </c>
      <c r="M11" s="2">
        <v>87852</v>
      </c>
      <c r="N11" s="2" t="s">
        <v>44</v>
      </c>
      <c r="O11" s="2">
        <v>4980</v>
      </c>
      <c r="P11" s="2" t="s">
        <v>45</v>
      </c>
      <c r="Q11" s="2">
        <v>19</v>
      </c>
      <c r="R11" s="2">
        <v>3</v>
      </c>
      <c r="S11" s="2" t="s">
        <v>26</v>
      </c>
      <c r="T11" s="2" t="s">
        <v>46</v>
      </c>
      <c r="U11" s="2" t="s">
        <v>15</v>
      </c>
    </row>
    <row r="12" spans="1:21">
      <c r="A12" s="2">
        <v>6213</v>
      </c>
      <c r="B12" s="2" t="s">
        <v>70</v>
      </c>
      <c r="C12" s="2" t="s">
        <v>17</v>
      </c>
      <c r="D12" s="2">
        <v>23</v>
      </c>
      <c r="E12" s="2" t="s">
        <v>3</v>
      </c>
      <c r="F12" s="2" t="s">
        <v>60</v>
      </c>
      <c r="G12" s="2" t="s">
        <v>5</v>
      </c>
      <c r="H12" s="2" t="s">
        <v>31</v>
      </c>
      <c r="I12" s="2" t="s">
        <v>71</v>
      </c>
      <c r="J12" s="2" t="s">
        <v>72</v>
      </c>
      <c r="K12" s="2" t="s">
        <v>43</v>
      </c>
      <c r="L12" s="2" t="s">
        <v>24</v>
      </c>
      <c r="M12" s="2">
        <v>59359</v>
      </c>
      <c r="N12" s="2" t="s">
        <v>44</v>
      </c>
      <c r="O12" s="2">
        <v>9449</v>
      </c>
      <c r="P12" s="2" t="s">
        <v>45</v>
      </c>
      <c r="Q12" s="2">
        <v>20</v>
      </c>
      <c r="R12" s="2">
        <v>3</v>
      </c>
      <c r="S12" s="2" t="s">
        <v>26</v>
      </c>
      <c r="T12" s="2" t="s">
        <v>36</v>
      </c>
      <c r="U12" s="2" t="s">
        <v>26</v>
      </c>
    </row>
    <row r="13" spans="1:21">
      <c r="A13" s="2">
        <v>9105</v>
      </c>
      <c r="B13" s="2" t="s">
        <v>73</v>
      </c>
      <c r="C13" s="2" t="s">
        <v>17</v>
      </c>
      <c r="D13" s="2">
        <v>30</v>
      </c>
      <c r="E13" s="2" t="s">
        <v>18</v>
      </c>
      <c r="F13" s="2" t="s">
        <v>4</v>
      </c>
      <c r="G13" s="2" t="s">
        <v>20</v>
      </c>
      <c r="H13" s="2" t="s">
        <v>6</v>
      </c>
      <c r="I13" s="2" t="s">
        <v>74</v>
      </c>
      <c r="J13" s="2" t="s">
        <v>75</v>
      </c>
      <c r="K13" s="2" t="s">
        <v>43</v>
      </c>
      <c r="L13" s="2" t="s">
        <v>34</v>
      </c>
      <c r="M13" s="2">
        <v>81225</v>
      </c>
      <c r="N13" s="2" t="s">
        <v>35</v>
      </c>
      <c r="O13" s="2">
        <v>6202</v>
      </c>
      <c r="P13" s="2" t="s">
        <v>45</v>
      </c>
      <c r="Q13" s="2">
        <v>2</v>
      </c>
      <c r="R13" s="2">
        <v>2</v>
      </c>
      <c r="S13" s="2" t="s">
        <v>27</v>
      </c>
      <c r="T13" s="2" t="s">
        <v>76</v>
      </c>
      <c r="U13" s="2" t="s">
        <v>15</v>
      </c>
    </row>
    <row r="14" spans="1:21">
      <c r="A14" s="2">
        <v>9508</v>
      </c>
      <c r="B14" s="2" t="s">
        <v>77</v>
      </c>
      <c r="C14" s="2" t="s">
        <v>2</v>
      </c>
      <c r="D14" s="2">
        <v>49</v>
      </c>
      <c r="E14" s="2" t="s">
        <v>78</v>
      </c>
      <c r="F14" s="2" t="s">
        <v>19</v>
      </c>
      <c r="G14" s="2" t="s">
        <v>5</v>
      </c>
      <c r="H14" s="2" t="s">
        <v>6</v>
      </c>
      <c r="I14" s="2" t="s">
        <v>79</v>
      </c>
      <c r="J14" s="2" t="s">
        <v>80</v>
      </c>
      <c r="K14" s="2" t="s">
        <v>43</v>
      </c>
      <c r="L14" s="2" t="s">
        <v>10</v>
      </c>
      <c r="M14" s="2">
        <v>32788</v>
      </c>
      <c r="N14" s="2" t="s">
        <v>35</v>
      </c>
      <c r="O14" s="2">
        <v>4396</v>
      </c>
      <c r="P14" s="2" t="s">
        <v>12</v>
      </c>
      <c r="Q14" s="2">
        <v>13</v>
      </c>
      <c r="R14" s="2">
        <v>5</v>
      </c>
      <c r="S14" s="2" t="s">
        <v>26</v>
      </c>
      <c r="T14" s="2" t="s">
        <v>55</v>
      </c>
      <c r="U14" s="2" t="s">
        <v>37</v>
      </c>
    </row>
    <row r="15" spans="1:21">
      <c r="A15" s="2">
        <v>2436</v>
      </c>
      <c r="B15" s="2" t="s">
        <v>81</v>
      </c>
      <c r="C15" s="2" t="s">
        <v>17</v>
      </c>
      <c r="D15" s="2">
        <v>60</v>
      </c>
      <c r="E15" s="2" t="s">
        <v>48</v>
      </c>
      <c r="F15" s="2" t="s">
        <v>82</v>
      </c>
      <c r="G15" s="2" t="s">
        <v>5</v>
      </c>
      <c r="H15" s="2" t="s">
        <v>40</v>
      </c>
      <c r="I15" s="2" t="s">
        <v>83</v>
      </c>
      <c r="J15" s="2" t="s">
        <v>84</v>
      </c>
      <c r="K15" s="2" t="s">
        <v>43</v>
      </c>
      <c r="L15" s="2" t="s">
        <v>34</v>
      </c>
      <c r="M15" s="2">
        <v>70452</v>
      </c>
      <c r="N15" s="2" t="s">
        <v>35</v>
      </c>
      <c r="O15" s="2">
        <v>9911</v>
      </c>
      <c r="P15" s="2" t="s">
        <v>26</v>
      </c>
      <c r="Q15" s="2">
        <v>2</v>
      </c>
      <c r="R15" s="2">
        <v>1</v>
      </c>
      <c r="S15" s="2" t="s">
        <v>26</v>
      </c>
      <c r="T15" s="2" t="s">
        <v>55</v>
      </c>
      <c r="U15" s="2" t="s">
        <v>15</v>
      </c>
    </row>
    <row r="16" spans="1:21">
      <c r="A16" s="2">
        <v>4441</v>
      </c>
      <c r="B16" s="2" t="s">
        <v>85</v>
      </c>
      <c r="C16" s="2" t="s">
        <v>17</v>
      </c>
      <c r="D16" s="2">
        <v>46</v>
      </c>
      <c r="E16" s="2" t="s">
        <v>78</v>
      </c>
      <c r="F16" s="2" t="s">
        <v>19</v>
      </c>
      <c r="G16" s="2" t="s">
        <v>52</v>
      </c>
      <c r="H16" s="2" t="s">
        <v>6</v>
      </c>
      <c r="I16" s="2" t="s">
        <v>86</v>
      </c>
      <c r="J16" s="2" t="s">
        <v>87</v>
      </c>
      <c r="K16" s="2" t="s">
        <v>9</v>
      </c>
      <c r="L16" s="2" t="s">
        <v>24</v>
      </c>
      <c r="M16" s="2">
        <v>33045</v>
      </c>
      <c r="N16" s="2" t="s">
        <v>25</v>
      </c>
      <c r="O16" s="2">
        <v>1456</v>
      </c>
      <c r="P16" s="2" t="s">
        <v>26</v>
      </c>
      <c r="Q16" s="2">
        <v>16</v>
      </c>
      <c r="R16" s="2">
        <v>3</v>
      </c>
      <c r="S16" s="2" t="s">
        <v>27</v>
      </c>
      <c r="T16" s="2" t="s">
        <v>55</v>
      </c>
      <c r="U16" s="2" t="s">
        <v>26</v>
      </c>
    </row>
    <row r="17" spans="1:21">
      <c r="A17" s="2">
        <v>5827</v>
      </c>
      <c r="B17" s="2" t="s">
        <v>88</v>
      </c>
      <c r="C17" s="2" t="s">
        <v>17</v>
      </c>
      <c r="D17" s="2">
        <v>57</v>
      </c>
      <c r="E17" s="2" t="s">
        <v>48</v>
      </c>
      <c r="F17" s="2" t="s">
        <v>29</v>
      </c>
      <c r="G17" s="2" t="s">
        <v>52</v>
      </c>
      <c r="H17" s="2" t="s">
        <v>21</v>
      </c>
      <c r="I17" s="2" t="s">
        <v>89</v>
      </c>
      <c r="J17" s="2" t="s">
        <v>90</v>
      </c>
      <c r="K17" s="2" t="s">
        <v>91</v>
      </c>
      <c r="L17" s="2" t="s">
        <v>34</v>
      </c>
      <c r="M17" s="2">
        <v>96429</v>
      </c>
      <c r="N17" s="2" t="s">
        <v>11</v>
      </c>
      <c r="O17" s="2">
        <v>4740</v>
      </c>
      <c r="P17" s="2" t="s">
        <v>26</v>
      </c>
      <c r="Q17" s="2">
        <v>8</v>
      </c>
      <c r="R17" s="2">
        <v>1</v>
      </c>
      <c r="S17" s="2" t="s">
        <v>27</v>
      </c>
      <c r="T17" s="2" t="s">
        <v>46</v>
      </c>
      <c r="U17" s="2" t="s">
        <v>26</v>
      </c>
    </row>
    <row r="18" spans="1:21">
      <c r="A18" s="2">
        <v>5184</v>
      </c>
      <c r="B18" s="2" t="s">
        <v>92</v>
      </c>
      <c r="C18" s="2" t="s">
        <v>2</v>
      </c>
      <c r="D18" s="2">
        <v>24</v>
      </c>
      <c r="E18" s="2" t="s">
        <v>3</v>
      </c>
      <c r="F18" s="2" t="s">
        <v>19</v>
      </c>
      <c r="G18" s="2" t="s">
        <v>30</v>
      </c>
      <c r="H18" s="2" t="s">
        <v>31</v>
      </c>
      <c r="I18" s="2" t="s">
        <v>93</v>
      </c>
      <c r="J18" s="2" t="s">
        <v>94</v>
      </c>
      <c r="K18" s="2" t="s">
        <v>91</v>
      </c>
      <c r="L18" s="2" t="s">
        <v>34</v>
      </c>
      <c r="M18" s="2">
        <v>33183</v>
      </c>
      <c r="N18" s="2" t="s">
        <v>44</v>
      </c>
      <c r="O18" s="2">
        <v>8114</v>
      </c>
      <c r="P18" s="2" t="s">
        <v>26</v>
      </c>
      <c r="Q18" s="2">
        <v>4</v>
      </c>
      <c r="R18" s="2">
        <v>2</v>
      </c>
      <c r="S18" s="2" t="s">
        <v>27</v>
      </c>
      <c r="T18" s="2" t="s">
        <v>76</v>
      </c>
      <c r="U18" s="2" t="s">
        <v>37</v>
      </c>
    </row>
    <row r="19" spans="1:21">
      <c r="A19" s="2">
        <v>5874</v>
      </c>
      <c r="B19" s="2" t="s">
        <v>38</v>
      </c>
      <c r="C19" s="2" t="s">
        <v>2</v>
      </c>
      <c r="D19" s="2">
        <v>35</v>
      </c>
      <c r="E19" s="2" t="s">
        <v>18</v>
      </c>
      <c r="F19" s="2" t="s">
        <v>82</v>
      </c>
      <c r="G19" s="2" t="s">
        <v>52</v>
      </c>
      <c r="H19" s="2" t="s">
        <v>6</v>
      </c>
      <c r="I19" s="2" t="s">
        <v>95</v>
      </c>
      <c r="J19" s="2" t="s">
        <v>96</v>
      </c>
      <c r="K19" s="2" t="s">
        <v>91</v>
      </c>
      <c r="L19" s="2" t="s">
        <v>10</v>
      </c>
      <c r="M19" s="2">
        <v>75065</v>
      </c>
      <c r="N19" s="2" t="s">
        <v>11</v>
      </c>
      <c r="O19" s="2">
        <v>7123</v>
      </c>
      <c r="P19" s="2" t="s">
        <v>26</v>
      </c>
      <c r="Q19" s="2">
        <v>20</v>
      </c>
      <c r="R19" s="2">
        <v>2</v>
      </c>
      <c r="S19" s="2" t="s">
        <v>26</v>
      </c>
      <c r="T19" s="2" t="s">
        <v>14</v>
      </c>
      <c r="U19" s="2" t="s">
        <v>37</v>
      </c>
    </row>
    <row r="20" spans="1:21">
      <c r="A20" s="2">
        <v>9834</v>
      </c>
      <c r="B20" s="2" t="s">
        <v>97</v>
      </c>
      <c r="C20" s="2" t="s">
        <v>17</v>
      </c>
      <c r="D20" s="2">
        <v>41</v>
      </c>
      <c r="E20" s="2" t="s">
        <v>39</v>
      </c>
      <c r="F20" s="2" t="s">
        <v>19</v>
      </c>
      <c r="G20" s="2" t="s">
        <v>20</v>
      </c>
      <c r="H20" s="2" t="s">
        <v>61</v>
      </c>
      <c r="I20" s="2" t="s">
        <v>98</v>
      </c>
      <c r="J20" s="2" t="s">
        <v>99</v>
      </c>
      <c r="K20" s="2" t="s">
        <v>9</v>
      </c>
      <c r="L20" s="2" t="s">
        <v>34</v>
      </c>
      <c r="M20" s="2">
        <v>32877</v>
      </c>
      <c r="N20" s="2" t="s">
        <v>11</v>
      </c>
      <c r="O20" s="2">
        <v>6432</v>
      </c>
      <c r="P20" s="2" t="s">
        <v>12</v>
      </c>
      <c r="Q20" s="2">
        <v>11</v>
      </c>
      <c r="R20" s="2">
        <v>1</v>
      </c>
      <c r="S20" s="2" t="s">
        <v>26</v>
      </c>
      <c r="T20" s="2" t="s">
        <v>14</v>
      </c>
      <c r="U20" s="2" t="s">
        <v>26</v>
      </c>
    </row>
    <row r="21" spans="1:21">
      <c r="A21" s="2">
        <v>5096</v>
      </c>
      <c r="B21" s="2" t="s">
        <v>100</v>
      </c>
      <c r="C21" s="2" t="s">
        <v>17</v>
      </c>
      <c r="D21" s="2">
        <v>36</v>
      </c>
      <c r="E21" s="2" t="s">
        <v>39</v>
      </c>
      <c r="F21" s="2" t="s">
        <v>19</v>
      </c>
      <c r="G21" s="2" t="s">
        <v>101</v>
      </c>
      <c r="H21" s="2" t="s">
        <v>40</v>
      </c>
      <c r="I21" s="2" t="s">
        <v>102</v>
      </c>
      <c r="J21" s="2" t="s">
        <v>103</v>
      </c>
      <c r="K21" s="2" t="s">
        <v>9</v>
      </c>
      <c r="L21" s="2" t="s">
        <v>24</v>
      </c>
      <c r="M21" s="2">
        <v>46811</v>
      </c>
      <c r="N21" s="2" t="s">
        <v>35</v>
      </c>
      <c r="O21" s="2">
        <v>1567</v>
      </c>
      <c r="P21" s="2" t="s">
        <v>26</v>
      </c>
      <c r="Q21" s="2">
        <v>7</v>
      </c>
      <c r="R21" s="2">
        <v>3</v>
      </c>
      <c r="S21" s="2" t="s">
        <v>27</v>
      </c>
      <c r="T21" s="2" t="s">
        <v>14</v>
      </c>
      <c r="U21" s="2" t="s">
        <v>37</v>
      </c>
    </row>
    <row r="22" spans="1:21">
      <c r="A22" s="2">
        <v>2263</v>
      </c>
      <c r="B22" s="2" t="s">
        <v>104</v>
      </c>
      <c r="C22" s="2" t="s">
        <v>17</v>
      </c>
      <c r="D22" s="2">
        <v>31</v>
      </c>
      <c r="E22" s="2" t="s">
        <v>18</v>
      </c>
      <c r="F22" s="2" t="s">
        <v>60</v>
      </c>
      <c r="G22" s="2" t="s">
        <v>30</v>
      </c>
      <c r="H22" s="2" t="s">
        <v>21</v>
      </c>
      <c r="I22" s="2" t="s">
        <v>105</v>
      </c>
      <c r="J22" s="2" t="s">
        <v>106</v>
      </c>
      <c r="K22" s="2" t="s">
        <v>43</v>
      </c>
      <c r="L22" s="2" t="s">
        <v>24</v>
      </c>
      <c r="M22" s="2">
        <v>87538</v>
      </c>
      <c r="N22" s="2" t="s">
        <v>11</v>
      </c>
      <c r="O22" s="2">
        <v>3588</v>
      </c>
      <c r="P22" s="2" t="s">
        <v>45</v>
      </c>
      <c r="Q22" s="2">
        <v>11</v>
      </c>
      <c r="R22" s="2">
        <v>5</v>
      </c>
      <c r="S22" s="2" t="s">
        <v>27</v>
      </c>
      <c r="T22" s="2" t="s">
        <v>46</v>
      </c>
      <c r="U22" s="2" t="s">
        <v>26</v>
      </c>
    </row>
    <row r="23" spans="1:21">
      <c r="A23" s="2">
        <v>6505</v>
      </c>
      <c r="B23" s="2" t="s">
        <v>107</v>
      </c>
      <c r="C23" s="2" t="s">
        <v>2</v>
      </c>
      <c r="D23" s="2">
        <v>28</v>
      </c>
      <c r="E23" s="2" t="s">
        <v>18</v>
      </c>
      <c r="F23" s="2" t="s">
        <v>4</v>
      </c>
      <c r="G23" s="2" t="s">
        <v>20</v>
      </c>
      <c r="H23" s="2" t="s">
        <v>61</v>
      </c>
      <c r="I23" s="2" t="s">
        <v>108</v>
      </c>
      <c r="J23" s="2" t="s">
        <v>109</v>
      </c>
      <c r="K23" s="2" t="s">
        <v>9</v>
      </c>
      <c r="L23" s="2" t="s">
        <v>24</v>
      </c>
      <c r="M23" s="2">
        <v>73002</v>
      </c>
      <c r="N23" s="2" t="s">
        <v>11</v>
      </c>
      <c r="O23" s="2">
        <v>6296</v>
      </c>
      <c r="P23" s="2" t="s">
        <v>12</v>
      </c>
      <c r="Q23" s="2">
        <v>2</v>
      </c>
      <c r="R23" s="2">
        <v>5</v>
      </c>
      <c r="S23" s="2" t="s">
        <v>27</v>
      </c>
      <c r="T23" s="2" t="s">
        <v>36</v>
      </c>
      <c r="U23" s="2" t="s">
        <v>15</v>
      </c>
    </row>
    <row r="24" spans="1:21">
      <c r="A24" s="2">
        <v>8626</v>
      </c>
      <c r="B24" s="2" t="s">
        <v>110</v>
      </c>
      <c r="C24" s="2" t="s">
        <v>17</v>
      </c>
      <c r="D24" s="2">
        <v>37</v>
      </c>
      <c r="E24" s="2" t="s">
        <v>39</v>
      </c>
      <c r="F24" s="2" t="s">
        <v>60</v>
      </c>
      <c r="G24" s="2" t="s">
        <v>20</v>
      </c>
      <c r="H24" s="2" t="s">
        <v>40</v>
      </c>
      <c r="I24" s="2" t="s">
        <v>111</v>
      </c>
      <c r="J24" s="2" t="s">
        <v>112</v>
      </c>
      <c r="K24" s="2" t="s">
        <v>91</v>
      </c>
      <c r="L24" s="2" t="s">
        <v>34</v>
      </c>
      <c r="M24" s="2">
        <v>41653</v>
      </c>
      <c r="N24" s="2" t="s">
        <v>35</v>
      </c>
      <c r="O24" s="2">
        <v>9236</v>
      </c>
      <c r="P24" s="2" t="s">
        <v>26</v>
      </c>
      <c r="Q24" s="2">
        <v>13</v>
      </c>
      <c r="R24" s="2">
        <v>1</v>
      </c>
      <c r="S24" s="2" t="s">
        <v>27</v>
      </c>
      <c r="T24" s="2" t="s">
        <v>14</v>
      </c>
      <c r="U24" s="2" t="s">
        <v>26</v>
      </c>
    </row>
    <row r="25" spans="1:21">
      <c r="A25" s="2">
        <v>5979</v>
      </c>
      <c r="B25" s="2" t="s">
        <v>113</v>
      </c>
      <c r="C25" s="2" t="s">
        <v>2</v>
      </c>
      <c r="D25" s="2">
        <v>31</v>
      </c>
      <c r="E25" s="2" t="s">
        <v>18</v>
      </c>
      <c r="F25" s="2" t="s">
        <v>4</v>
      </c>
      <c r="G25" s="2" t="s">
        <v>5</v>
      </c>
      <c r="H25" s="2" t="s">
        <v>31</v>
      </c>
      <c r="I25" s="2" t="s">
        <v>114</v>
      </c>
      <c r="J25" s="2" t="s">
        <v>115</v>
      </c>
      <c r="K25" s="2" t="s">
        <v>43</v>
      </c>
      <c r="L25" s="2" t="s">
        <v>24</v>
      </c>
      <c r="M25" s="2">
        <v>67582</v>
      </c>
      <c r="N25" s="2" t="s">
        <v>44</v>
      </c>
      <c r="O25" s="2">
        <v>1375</v>
      </c>
      <c r="P25" s="2" t="s">
        <v>12</v>
      </c>
      <c r="Q25" s="2">
        <v>20</v>
      </c>
      <c r="R25" s="2">
        <v>3</v>
      </c>
      <c r="S25" s="2" t="s">
        <v>27</v>
      </c>
      <c r="T25" s="2" t="s">
        <v>36</v>
      </c>
      <c r="U25" s="2" t="s">
        <v>26</v>
      </c>
    </row>
    <row r="26" spans="1:21">
      <c r="A26" s="2">
        <v>3104</v>
      </c>
      <c r="B26" s="2" t="s">
        <v>116</v>
      </c>
      <c r="C26" s="2" t="s">
        <v>2</v>
      </c>
      <c r="D26" s="2">
        <v>23</v>
      </c>
      <c r="E26" s="2" t="s">
        <v>3</v>
      </c>
      <c r="F26" s="2" t="s">
        <v>60</v>
      </c>
      <c r="G26" s="2" t="s">
        <v>20</v>
      </c>
      <c r="H26" s="2" t="s">
        <v>21</v>
      </c>
      <c r="I26" s="2" t="s">
        <v>117</v>
      </c>
      <c r="J26" s="2" t="s">
        <v>118</v>
      </c>
      <c r="K26" s="2" t="s">
        <v>91</v>
      </c>
      <c r="L26" s="2" t="s">
        <v>24</v>
      </c>
      <c r="M26" s="2">
        <v>37351</v>
      </c>
      <c r="N26" s="2" t="s">
        <v>35</v>
      </c>
      <c r="O26" s="2">
        <v>7858</v>
      </c>
      <c r="P26" s="2" t="s">
        <v>45</v>
      </c>
      <c r="Q26" s="2">
        <v>18</v>
      </c>
      <c r="R26" s="2">
        <v>2</v>
      </c>
      <c r="S26" s="2" t="s">
        <v>13</v>
      </c>
      <c r="T26" s="2" t="s">
        <v>36</v>
      </c>
      <c r="U26" s="2" t="s">
        <v>37</v>
      </c>
    </row>
    <row r="27" spans="1:21">
      <c r="A27" s="2">
        <v>8967</v>
      </c>
      <c r="B27" s="2" t="s">
        <v>119</v>
      </c>
      <c r="C27" s="2" t="s">
        <v>2</v>
      </c>
      <c r="D27" s="2">
        <v>48</v>
      </c>
      <c r="E27" s="2" t="s">
        <v>78</v>
      </c>
      <c r="F27" s="2" t="s">
        <v>82</v>
      </c>
      <c r="G27" s="2" t="s">
        <v>30</v>
      </c>
      <c r="H27" s="2" t="s">
        <v>6</v>
      </c>
      <c r="I27" s="2" t="s">
        <v>120</v>
      </c>
      <c r="J27" s="2" t="s">
        <v>121</v>
      </c>
      <c r="K27" s="2" t="s">
        <v>9</v>
      </c>
      <c r="L27" s="2" t="s">
        <v>24</v>
      </c>
      <c r="M27" s="2">
        <v>36721</v>
      </c>
      <c r="N27" s="2" t="s">
        <v>25</v>
      </c>
      <c r="O27" s="2">
        <v>8820</v>
      </c>
      <c r="P27" s="2" t="s">
        <v>45</v>
      </c>
      <c r="Q27" s="2">
        <v>0</v>
      </c>
      <c r="R27" s="2">
        <v>2</v>
      </c>
      <c r="S27" s="2" t="s">
        <v>27</v>
      </c>
      <c r="T27" s="2" t="s">
        <v>36</v>
      </c>
      <c r="U27" s="2" t="s">
        <v>15</v>
      </c>
    </row>
    <row r="28" spans="1:21">
      <c r="A28" s="2">
        <v>5087</v>
      </c>
      <c r="B28" s="2" t="s">
        <v>122</v>
      </c>
      <c r="C28" s="2" t="s">
        <v>17</v>
      </c>
      <c r="D28" s="2">
        <v>28</v>
      </c>
      <c r="E28" s="2" t="s">
        <v>18</v>
      </c>
      <c r="F28" s="2" t="s">
        <v>29</v>
      </c>
      <c r="G28" s="2" t="s">
        <v>101</v>
      </c>
      <c r="H28" s="2" t="s">
        <v>6</v>
      </c>
      <c r="I28" s="2" t="s">
        <v>123</v>
      </c>
      <c r="J28" s="2" t="s">
        <v>124</v>
      </c>
      <c r="K28" s="2" t="s">
        <v>43</v>
      </c>
      <c r="L28" s="2" t="s">
        <v>34</v>
      </c>
      <c r="M28" s="2">
        <v>46326</v>
      </c>
      <c r="N28" s="2" t="s">
        <v>25</v>
      </c>
      <c r="O28" s="2">
        <v>9189</v>
      </c>
      <c r="P28" s="2" t="s">
        <v>45</v>
      </c>
      <c r="Q28" s="2">
        <v>8</v>
      </c>
      <c r="R28" s="2">
        <v>4</v>
      </c>
      <c r="S28" s="2" t="s">
        <v>13</v>
      </c>
      <c r="T28" s="2" t="s">
        <v>55</v>
      </c>
      <c r="U28" s="2" t="s">
        <v>37</v>
      </c>
    </row>
    <row r="29" spans="1:21">
      <c r="A29" s="2">
        <v>3358</v>
      </c>
      <c r="B29" s="2" t="s">
        <v>125</v>
      </c>
      <c r="C29" s="2" t="s">
        <v>17</v>
      </c>
      <c r="D29" s="2">
        <v>30</v>
      </c>
      <c r="E29" s="2" t="s">
        <v>18</v>
      </c>
      <c r="F29" s="2" t="s">
        <v>19</v>
      </c>
      <c r="G29" s="2" t="s">
        <v>52</v>
      </c>
      <c r="H29" s="2" t="s">
        <v>21</v>
      </c>
      <c r="I29" s="2" t="s">
        <v>126</v>
      </c>
      <c r="J29" s="2" t="s">
        <v>127</v>
      </c>
      <c r="K29" s="2" t="s">
        <v>9</v>
      </c>
      <c r="L29" s="2" t="s">
        <v>10</v>
      </c>
      <c r="M29" s="2">
        <v>59007</v>
      </c>
      <c r="N29" s="2" t="s">
        <v>11</v>
      </c>
      <c r="O29" s="2">
        <v>3380</v>
      </c>
      <c r="P29" s="2" t="s">
        <v>12</v>
      </c>
      <c r="Q29" s="2">
        <v>17</v>
      </c>
      <c r="R29" s="2">
        <v>3</v>
      </c>
      <c r="S29" s="2" t="s">
        <v>26</v>
      </c>
      <c r="T29" s="2" t="s">
        <v>76</v>
      </c>
      <c r="U29" s="2" t="s">
        <v>15</v>
      </c>
    </row>
    <row r="30" spans="1:21">
      <c r="A30" s="2">
        <v>8256</v>
      </c>
      <c r="B30" s="2" t="s">
        <v>128</v>
      </c>
      <c r="C30" s="2" t="s">
        <v>17</v>
      </c>
      <c r="D30" s="2">
        <v>46</v>
      </c>
      <c r="E30" s="2" t="s">
        <v>78</v>
      </c>
      <c r="F30" s="2" t="s">
        <v>60</v>
      </c>
      <c r="G30" s="2" t="s">
        <v>5</v>
      </c>
      <c r="H30" s="2" t="s">
        <v>40</v>
      </c>
      <c r="I30" s="2" t="s">
        <v>129</v>
      </c>
      <c r="J30" s="2" t="s">
        <v>130</v>
      </c>
      <c r="K30" s="2" t="s">
        <v>9</v>
      </c>
      <c r="L30" s="2" t="s">
        <v>24</v>
      </c>
      <c r="M30" s="2">
        <v>52020</v>
      </c>
      <c r="N30" s="2" t="s">
        <v>25</v>
      </c>
      <c r="O30" s="2">
        <v>9585</v>
      </c>
      <c r="P30" s="2" t="s">
        <v>45</v>
      </c>
      <c r="Q30" s="2">
        <v>0</v>
      </c>
      <c r="R30" s="2">
        <v>4</v>
      </c>
      <c r="S30" s="2" t="s">
        <v>27</v>
      </c>
      <c r="T30" s="2" t="s">
        <v>76</v>
      </c>
      <c r="U30" s="2" t="s">
        <v>26</v>
      </c>
    </row>
    <row r="31" spans="1:21">
      <c r="A31" s="2">
        <v>5763</v>
      </c>
      <c r="B31" s="2" t="s">
        <v>131</v>
      </c>
      <c r="C31" s="2" t="s">
        <v>17</v>
      </c>
      <c r="D31" s="2">
        <v>44</v>
      </c>
      <c r="E31" s="2" t="s">
        <v>39</v>
      </c>
      <c r="F31" s="2" t="s">
        <v>19</v>
      </c>
      <c r="G31" s="2" t="s">
        <v>30</v>
      </c>
      <c r="H31" s="2" t="s">
        <v>21</v>
      </c>
      <c r="I31" s="2" t="s">
        <v>132</v>
      </c>
      <c r="J31" s="2" t="s">
        <v>133</v>
      </c>
      <c r="K31" s="2" t="s">
        <v>91</v>
      </c>
      <c r="L31" s="2" t="s">
        <v>24</v>
      </c>
      <c r="M31" s="2">
        <v>98961</v>
      </c>
      <c r="N31" s="2" t="s">
        <v>35</v>
      </c>
      <c r="O31" s="2">
        <v>2688</v>
      </c>
      <c r="P31" s="2" t="s">
        <v>12</v>
      </c>
      <c r="Q31" s="2">
        <v>2</v>
      </c>
      <c r="R31" s="2">
        <v>5</v>
      </c>
      <c r="S31" s="2" t="s">
        <v>27</v>
      </c>
      <c r="T31" s="2" t="s">
        <v>76</v>
      </c>
      <c r="U31" s="2" t="s">
        <v>15</v>
      </c>
    </row>
    <row r="32" spans="1:21">
      <c r="A32" s="2">
        <v>6838</v>
      </c>
      <c r="B32" s="2" t="s">
        <v>134</v>
      </c>
      <c r="C32" s="2" t="s">
        <v>17</v>
      </c>
      <c r="D32" s="2">
        <v>45</v>
      </c>
      <c r="E32" s="2" t="s">
        <v>39</v>
      </c>
      <c r="F32" s="2" t="s">
        <v>29</v>
      </c>
      <c r="G32" s="2" t="s">
        <v>52</v>
      </c>
      <c r="H32" s="2" t="s">
        <v>31</v>
      </c>
      <c r="I32" s="2" t="s">
        <v>135</v>
      </c>
      <c r="J32" s="2" t="s">
        <v>136</v>
      </c>
      <c r="K32" s="2" t="s">
        <v>91</v>
      </c>
      <c r="L32" s="2" t="s">
        <v>24</v>
      </c>
      <c r="M32" s="2">
        <v>81943</v>
      </c>
      <c r="N32" s="2" t="s">
        <v>11</v>
      </c>
      <c r="O32" s="2">
        <v>2255</v>
      </c>
      <c r="P32" s="2" t="s">
        <v>12</v>
      </c>
      <c r="Q32" s="2">
        <v>18</v>
      </c>
      <c r="R32" s="2">
        <v>2</v>
      </c>
      <c r="S32" s="2" t="s">
        <v>26</v>
      </c>
      <c r="T32" s="2" t="s">
        <v>46</v>
      </c>
      <c r="U32" s="2" t="s">
        <v>15</v>
      </c>
    </row>
    <row r="33" spans="1:21">
      <c r="A33" s="2">
        <v>9544</v>
      </c>
      <c r="B33" s="2" t="s">
        <v>137</v>
      </c>
      <c r="C33" s="2" t="s">
        <v>17</v>
      </c>
      <c r="D33" s="2">
        <v>52</v>
      </c>
      <c r="E33" s="2" t="s">
        <v>78</v>
      </c>
      <c r="F33" s="2" t="s">
        <v>82</v>
      </c>
      <c r="G33" s="2" t="s">
        <v>30</v>
      </c>
      <c r="H33" s="2" t="s">
        <v>21</v>
      </c>
      <c r="I33" s="2" t="s">
        <v>138</v>
      </c>
      <c r="J33" s="2" t="s">
        <v>139</v>
      </c>
      <c r="K33" s="2" t="s">
        <v>91</v>
      </c>
      <c r="L33" s="2" t="s">
        <v>24</v>
      </c>
      <c r="M33" s="2">
        <v>47627</v>
      </c>
      <c r="N33" s="2" t="s">
        <v>11</v>
      </c>
      <c r="O33" s="2">
        <v>1221</v>
      </c>
      <c r="P33" s="2" t="s">
        <v>26</v>
      </c>
      <c r="Q33" s="2">
        <v>4</v>
      </c>
      <c r="R33" s="2">
        <v>3</v>
      </c>
      <c r="S33" s="2" t="s">
        <v>26</v>
      </c>
      <c r="T33" s="2" t="s">
        <v>36</v>
      </c>
      <c r="U33" s="2" t="s">
        <v>26</v>
      </c>
    </row>
    <row r="34" spans="1:21">
      <c r="A34" s="2">
        <v>8012</v>
      </c>
      <c r="B34" s="2" t="s">
        <v>140</v>
      </c>
      <c r="C34" s="2" t="s">
        <v>2</v>
      </c>
      <c r="D34" s="2">
        <v>52</v>
      </c>
      <c r="E34" s="2" t="s">
        <v>78</v>
      </c>
      <c r="F34" s="2" t="s">
        <v>4</v>
      </c>
      <c r="G34" s="2" t="s">
        <v>5</v>
      </c>
      <c r="H34" s="2" t="s">
        <v>61</v>
      </c>
      <c r="I34" s="2" t="s">
        <v>141</v>
      </c>
      <c r="J34" s="2" t="s">
        <v>142</v>
      </c>
      <c r="K34" s="2" t="s">
        <v>91</v>
      </c>
      <c r="L34" s="2" t="s">
        <v>24</v>
      </c>
      <c r="M34" s="2">
        <v>56162</v>
      </c>
      <c r="N34" s="2" t="s">
        <v>35</v>
      </c>
      <c r="O34" s="2">
        <v>6560</v>
      </c>
      <c r="P34" s="2" t="s">
        <v>45</v>
      </c>
      <c r="Q34" s="2">
        <v>9</v>
      </c>
      <c r="R34" s="2">
        <v>4</v>
      </c>
      <c r="S34" s="2" t="s">
        <v>27</v>
      </c>
      <c r="T34" s="2" t="s">
        <v>55</v>
      </c>
      <c r="U34" s="2" t="s">
        <v>26</v>
      </c>
    </row>
    <row r="35" spans="1:21">
      <c r="A35" s="2">
        <v>9374</v>
      </c>
      <c r="B35" s="2" t="s">
        <v>143</v>
      </c>
      <c r="C35" s="2" t="s">
        <v>2</v>
      </c>
      <c r="D35" s="2">
        <v>42</v>
      </c>
      <c r="E35" s="2" t="s">
        <v>39</v>
      </c>
      <c r="F35" s="2" t="s">
        <v>19</v>
      </c>
      <c r="G35" s="2" t="s">
        <v>30</v>
      </c>
      <c r="H35" s="2" t="s">
        <v>31</v>
      </c>
      <c r="I35" s="2" t="s">
        <v>144</v>
      </c>
      <c r="J35" s="2" t="s">
        <v>145</v>
      </c>
      <c r="K35" s="2" t="s">
        <v>43</v>
      </c>
      <c r="L35" s="2" t="s">
        <v>34</v>
      </c>
      <c r="M35" s="2">
        <v>95734</v>
      </c>
      <c r="N35" s="2" t="s">
        <v>11</v>
      </c>
      <c r="O35" s="2">
        <v>4854</v>
      </c>
      <c r="P35" s="2" t="s">
        <v>12</v>
      </c>
      <c r="Q35" s="2">
        <v>13</v>
      </c>
      <c r="R35" s="2">
        <v>2</v>
      </c>
      <c r="S35" s="2" t="s">
        <v>13</v>
      </c>
      <c r="T35" s="2" t="s">
        <v>14</v>
      </c>
      <c r="U35" s="2" t="s">
        <v>15</v>
      </c>
    </row>
    <row r="36" spans="1:21">
      <c r="A36" s="2">
        <v>3487</v>
      </c>
      <c r="B36" s="2" t="s">
        <v>146</v>
      </c>
      <c r="C36" s="2" t="s">
        <v>17</v>
      </c>
      <c r="D36" s="2">
        <v>58</v>
      </c>
      <c r="E36" s="2" t="s">
        <v>48</v>
      </c>
      <c r="F36" s="2" t="s">
        <v>19</v>
      </c>
      <c r="G36" s="2" t="s">
        <v>20</v>
      </c>
      <c r="H36" s="2" t="s">
        <v>40</v>
      </c>
      <c r="I36" s="2" t="s">
        <v>147</v>
      </c>
      <c r="J36" s="2" t="s">
        <v>148</v>
      </c>
      <c r="K36" s="2" t="s">
        <v>43</v>
      </c>
      <c r="L36" s="2" t="s">
        <v>34</v>
      </c>
      <c r="M36" s="2">
        <v>74789</v>
      </c>
      <c r="N36" s="2" t="s">
        <v>11</v>
      </c>
      <c r="O36" s="2">
        <v>8101</v>
      </c>
      <c r="P36" s="2" t="s">
        <v>45</v>
      </c>
      <c r="Q36" s="2">
        <v>14</v>
      </c>
      <c r="R36" s="2">
        <v>5</v>
      </c>
      <c r="S36" s="2" t="s">
        <v>27</v>
      </c>
      <c r="T36" s="2" t="s">
        <v>46</v>
      </c>
      <c r="U36" s="2" t="s">
        <v>26</v>
      </c>
    </row>
    <row r="37" spans="1:21">
      <c r="A37" s="2">
        <v>8445</v>
      </c>
      <c r="B37" s="2" t="s">
        <v>149</v>
      </c>
      <c r="C37" s="2" t="s">
        <v>2</v>
      </c>
      <c r="D37" s="2">
        <v>24</v>
      </c>
      <c r="E37" s="2" t="s">
        <v>3</v>
      </c>
      <c r="F37" s="2" t="s">
        <v>82</v>
      </c>
      <c r="G37" s="2" t="s">
        <v>5</v>
      </c>
      <c r="H37" s="2" t="s">
        <v>40</v>
      </c>
      <c r="I37" s="2" t="s">
        <v>150</v>
      </c>
      <c r="J37" s="2" t="s">
        <v>151</v>
      </c>
      <c r="K37" s="2" t="s">
        <v>9</v>
      </c>
      <c r="L37" s="2" t="s">
        <v>34</v>
      </c>
      <c r="M37" s="2">
        <v>30137</v>
      </c>
      <c r="N37" s="2" t="s">
        <v>25</v>
      </c>
      <c r="O37" s="2">
        <v>4031</v>
      </c>
      <c r="P37" s="2" t="s">
        <v>26</v>
      </c>
      <c r="Q37" s="2">
        <v>5</v>
      </c>
      <c r="R37" s="2">
        <v>3</v>
      </c>
      <c r="S37" s="2" t="s">
        <v>26</v>
      </c>
      <c r="T37" s="2" t="s">
        <v>36</v>
      </c>
      <c r="U37" s="2" t="s">
        <v>15</v>
      </c>
    </row>
    <row r="38" spans="1:21">
      <c r="A38" s="2">
        <v>1550</v>
      </c>
      <c r="B38" s="2" t="s">
        <v>152</v>
      </c>
      <c r="C38" s="2" t="s">
        <v>17</v>
      </c>
      <c r="D38" s="2">
        <v>21</v>
      </c>
      <c r="E38" s="2" t="s">
        <v>3</v>
      </c>
      <c r="F38" s="2" t="s">
        <v>19</v>
      </c>
      <c r="G38" s="2" t="s">
        <v>5</v>
      </c>
      <c r="H38" s="2" t="s">
        <v>6</v>
      </c>
      <c r="I38" s="2" t="s">
        <v>153</v>
      </c>
      <c r="J38" s="2" t="s">
        <v>154</v>
      </c>
      <c r="K38" s="2" t="s">
        <v>9</v>
      </c>
      <c r="L38" s="2" t="s">
        <v>34</v>
      </c>
      <c r="M38" s="2">
        <v>95510</v>
      </c>
      <c r="N38" s="2" t="s">
        <v>11</v>
      </c>
      <c r="O38" s="2">
        <v>6811</v>
      </c>
      <c r="P38" s="2" t="s">
        <v>12</v>
      </c>
      <c r="Q38" s="2">
        <v>18</v>
      </c>
      <c r="R38" s="2">
        <v>4</v>
      </c>
      <c r="S38" s="2" t="s">
        <v>27</v>
      </c>
      <c r="T38" s="2" t="s">
        <v>76</v>
      </c>
      <c r="U38" s="2" t="s">
        <v>15</v>
      </c>
    </row>
    <row r="39" spans="1:21">
      <c r="A39" s="2">
        <v>9968</v>
      </c>
      <c r="B39" s="2" t="s">
        <v>155</v>
      </c>
      <c r="C39" s="2" t="s">
        <v>17</v>
      </c>
      <c r="D39" s="2">
        <v>58</v>
      </c>
      <c r="E39" s="2" t="s">
        <v>48</v>
      </c>
      <c r="F39" s="2" t="s">
        <v>19</v>
      </c>
      <c r="G39" s="2" t="s">
        <v>52</v>
      </c>
      <c r="H39" s="2" t="s">
        <v>6</v>
      </c>
      <c r="I39" s="2" t="s">
        <v>156</v>
      </c>
      <c r="J39" s="2" t="s">
        <v>157</v>
      </c>
      <c r="K39" s="2" t="s">
        <v>43</v>
      </c>
      <c r="L39" s="2" t="s">
        <v>10</v>
      </c>
      <c r="M39" s="2">
        <v>80325</v>
      </c>
      <c r="N39" s="2" t="s">
        <v>25</v>
      </c>
      <c r="O39" s="2">
        <v>6230</v>
      </c>
      <c r="P39" s="2" t="s">
        <v>12</v>
      </c>
      <c r="Q39" s="2">
        <v>5</v>
      </c>
      <c r="R39" s="2">
        <v>4</v>
      </c>
      <c r="S39" s="2" t="s">
        <v>26</v>
      </c>
      <c r="T39" s="2" t="s">
        <v>46</v>
      </c>
      <c r="U39" s="2" t="s">
        <v>37</v>
      </c>
    </row>
    <row r="40" spans="1:21">
      <c r="A40" s="2">
        <v>8029</v>
      </c>
      <c r="B40" s="2" t="s">
        <v>158</v>
      </c>
      <c r="C40" s="2" t="s">
        <v>2</v>
      </c>
      <c r="D40" s="2">
        <v>57</v>
      </c>
      <c r="E40" s="2" t="s">
        <v>48</v>
      </c>
      <c r="F40" s="2" t="s">
        <v>60</v>
      </c>
      <c r="G40" s="2" t="s">
        <v>101</v>
      </c>
      <c r="H40" s="2" t="s">
        <v>61</v>
      </c>
      <c r="I40" s="2" t="s">
        <v>159</v>
      </c>
      <c r="J40" s="2" t="s">
        <v>160</v>
      </c>
      <c r="K40" s="2" t="s">
        <v>91</v>
      </c>
      <c r="L40" s="2" t="s">
        <v>24</v>
      </c>
      <c r="M40" s="2">
        <v>34109</v>
      </c>
      <c r="N40" s="2" t="s">
        <v>25</v>
      </c>
      <c r="O40" s="2">
        <v>9232</v>
      </c>
      <c r="P40" s="2" t="s">
        <v>12</v>
      </c>
      <c r="Q40" s="2">
        <v>13</v>
      </c>
      <c r="R40" s="2">
        <v>3</v>
      </c>
      <c r="S40" s="2" t="s">
        <v>13</v>
      </c>
      <c r="T40" s="2" t="s">
        <v>14</v>
      </c>
      <c r="U40" s="2" t="s">
        <v>15</v>
      </c>
    </row>
    <row r="41" spans="1:21">
      <c r="A41" s="2">
        <v>8847</v>
      </c>
      <c r="B41" s="2" t="s">
        <v>161</v>
      </c>
      <c r="C41" s="2" t="s">
        <v>17</v>
      </c>
      <c r="D41" s="2">
        <v>41</v>
      </c>
      <c r="E41" s="2" t="s">
        <v>39</v>
      </c>
      <c r="F41" s="2" t="s">
        <v>60</v>
      </c>
      <c r="G41" s="2" t="s">
        <v>52</v>
      </c>
      <c r="H41" s="2" t="s">
        <v>6</v>
      </c>
      <c r="I41" s="2" t="s">
        <v>162</v>
      </c>
      <c r="J41" s="2" t="s">
        <v>163</v>
      </c>
      <c r="K41" s="2" t="s">
        <v>91</v>
      </c>
      <c r="L41" s="2" t="s">
        <v>34</v>
      </c>
      <c r="M41" s="2">
        <v>73330</v>
      </c>
      <c r="N41" s="2" t="s">
        <v>11</v>
      </c>
      <c r="O41" s="2">
        <v>2276</v>
      </c>
      <c r="P41" s="2" t="s">
        <v>45</v>
      </c>
      <c r="Q41" s="2">
        <v>5</v>
      </c>
      <c r="R41" s="2">
        <v>1</v>
      </c>
      <c r="S41" s="2" t="s">
        <v>26</v>
      </c>
      <c r="T41" s="2" t="s">
        <v>36</v>
      </c>
      <c r="U41" s="2" t="s">
        <v>37</v>
      </c>
    </row>
    <row r="42" spans="1:21">
      <c r="A42" s="2">
        <v>1955</v>
      </c>
      <c r="B42" s="2" t="s">
        <v>164</v>
      </c>
      <c r="C42" s="2" t="s">
        <v>2</v>
      </c>
      <c r="D42" s="2">
        <v>58</v>
      </c>
      <c r="E42" s="2" t="s">
        <v>48</v>
      </c>
      <c r="F42" s="2" t="s">
        <v>29</v>
      </c>
      <c r="G42" s="2" t="s">
        <v>30</v>
      </c>
      <c r="H42" s="2" t="s">
        <v>21</v>
      </c>
      <c r="I42" s="2" t="s">
        <v>165</v>
      </c>
      <c r="J42" s="2" t="s">
        <v>166</v>
      </c>
      <c r="K42" s="2" t="s">
        <v>43</v>
      </c>
      <c r="L42" s="2" t="s">
        <v>34</v>
      </c>
      <c r="M42" s="2">
        <v>46567</v>
      </c>
      <c r="N42" s="2" t="s">
        <v>44</v>
      </c>
      <c r="O42" s="2">
        <v>2825</v>
      </c>
      <c r="P42" s="2" t="s">
        <v>12</v>
      </c>
      <c r="Q42" s="2">
        <v>15</v>
      </c>
      <c r="R42" s="2">
        <v>3</v>
      </c>
      <c r="S42" s="2" t="s">
        <v>26</v>
      </c>
      <c r="T42" s="2" t="s">
        <v>76</v>
      </c>
      <c r="U42" s="2" t="s">
        <v>37</v>
      </c>
    </row>
    <row r="43" spans="1:21">
      <c r="A43" s="2">
        <v>4522</v>
      </c>
      <c r="B43" s="2" t="s">
        <v>167</v>
      </c>
      <c r="C43" s="2" t="s">
        <v>2</v>
      </c>
      <c r="D43" s="2">
        <v>36</v>
      </c>
      <c r="E43" s="2" t="s">
        <v>39</v>
      </c>
      <c r="F43" s="2" t="s">
        <v>4</v>
      </c>
      <c r="G43" s="2" t="s">
        <v>101</v>
      </c>
      <c r="H43" s="2" t="s">
        <v>6</v>
      </c>
      <c r="I43" s="2" t="s">
        <v>168</v>
      </c>
      <c r="J43" s="2" t="s">
        <v>169</v>
      </c>
      <c r="K43" s="2" t="s">
        <v>43</v>
      </c>
      <c r="L43" s="2" t="s">
        <v>24</v>
      </c>
      <c r="M43" s="2">
        <v>39795</v>
      </c>
      <c r="N43" s="2" t="s">
        <v>44</v>
      </c>
      <c r="O43" s="2">
        <v>1670</v>
      </c>
      <c r="P43" s="2" t="s">
        <v>26</v>
      </c>
      <c r="Q43" s="2">
        <v>0</v>
      </c>
      <c r="R43" s="2">
        <v>2</v>
      </c>
      <c r="S43" s="2" t="s">
        <v>27</v>
      </c>
      <c r="T43" s="2" t="s">
        <v>55</v>
      </c>
      <c r="U43" s="2" t="s">
        <v>26</v>
      </c>
    </row>
    <row r="44" spans="1:21">
      <c r="A44" s="2">
        <v>3078</v>
      </c>
      <c r="B44" s="2" t="s">
        <v>170</v>
      </c>
      <c r="C44" s="2" t="s">
        <v>2</v>
      </c>
      <c r="D44" s="2">
        <v>21</v>
      </c>
      <c r="E44" s="2" t="s">
        <v>3</v>
      </c>
      <c r="F44" s="2" t="s">
        <v>4</v>
      </c>
      <c r="G44" s="2" t="s">
        <v>5</v>
      </c>
      <c r="H44" s="2" t="s">
        <v>61</v>
      </c>
      <c r="I44" s="2" t="s">
        <v>171</v>
      </c>
      <c r="J44" s="2" t="s">
        <v>172</v>
      </c>
      <c r="K44" s="2" t="s">
        <v>43</v>
      </c>
      <c r="L44" s="2" t="s">
        <v>34</v>
      </c>
      <c r="M44" s="2">
        <v>59506</v>
      </c>
      <c r="N44" s="2" t="s">
        <v>44</v>
      </c>
      <c r="O44" s="2">
        <v>4428</v>
      </c>
      <c r="P44" s="2" t="s">
        <v>45</v>
      </c>
      <c r="Q44" s="2">
        <v>0</v>
      </c>
      <c r="R44" s="2">
        <v>1</v>
      </c>
      <c r="S44" s="2" t="s">
        <v>26</v>
      </c>
      <c r="T44" s="2" t="s">
        <v>55</v>
      </c>
      <c r="U44" s="2" t="s">
        <v>15</v>
      </c>
    </row>
    <row r="45" spans="1:21">
      <c r="A45" s="2">
        <v>6357</v>
      </c>
      <c r="B45" s="2" t="s">
        <v>173</v>
      </c>
      <c r="C45" s="2" t="s">
        <v>2</v>
      </c>
      <c r="D45" s="2">
        <v>46</v>
      </c>
      <c r="E45" s="2" t="s">
        <v>78</v>
      </c>
      <c r="F45" s="2" t="s">
        <v>29</v>
      </c>
      <c r="G45" s="2" t="s">
        <v>20</v>
      </c>
      <c r="H45" s="2" t="s">
        <v>61</v>
      </c>
      <c r="I45" s="2" t="s">
        <v>174</v>
      </c>
      <c r="J45" s="2" t="s">
        <v>175</v>
      </c>
      <c r="K45" s="2" t="s">
        <v>43</v>
      </c>
      <c r="L45" s="2" t="s">
        <v>34</v>
      </c>
      <c r="M45" s="2">
        <v>49058</v>
      </c>
      <c r="N45" s="2" t="s">
        <v>25</v>
      </c>
      <c r="O45" s="2">
        <v>4396</v>
      </c>
      <c r="P45" s="2" t="s">
        <v>26</v>
      </c>
      <c r="Q45" s="2">
        <v>5</v>
      </c>
      <c r="R45" s="2">
        <v>1</v>
      </c>
      <c r="S45" s="2" t="s">
        <v>26</v>
      </c>
      <c r="T45" s="2" t="s">
        <v>55</v>
      </c>
      <c r="U45" s="2" t="s">
        <v>26</v>
      </c>
    </row>
    <row r="46" spans="1:21">
      <c r="A46" s="2">
        <v>7951</v>
      </c>
      <c r="B46" s="2" t="s">
        <v>176</v>
      </c>
      <c r="C46" s="2" t="s">
        <v>2</v>
      </c>
      <c r="D46" s="2">
        <v>36</v>
      </c>
      <c r="E46" s="2" t="s">
        <v>39</v>
      </c>
      <c r="F46" s="2" t="s">
        <v>60</v>
      </c>
      <c r="G46" s="2" t="s">
        <v>30</v>
      </c>
      <c r="H46" s="2" t="s">
        <v>61</v>
      </c>
      <c r="I46" s="2" t="s">
        <v>177</v>
      </c>
      <c r="J46" s="2" t="s">
        <v>178</v>
      </c>
      <c r="K46" s="2" t="s">
        <v>43</v>
      </c>
      <c r="L46" s="2" t="s">
        <v>10</v>
      </c>
      <c r="M46" s="2">
        <v>98612</v>
      </c>
      <c r="N46" s="2" t="s">
        <v>44</v>
      </c>
      <c r="O46" s="2">
        <v>1168</v>
      </c>
      <c r="P46" s="2" t="s">
        <v>26</v>
      </c>
      <c r="Q46" s="2">
        <v>9</v>
      </c>
      <c r="R46" s="2">
        <v>2</v>
      </c>
      <c r="S46" s="2" t="s">
        <v>27</v>
      </c>
      <c r="T46" s="2" t="s">
        <v>14</v>
      </c>
      <c r="U46" s="2" t="s">
        <v>15</v>
      </c>
    </row>
    <row r="47" spans="1:21">
      <c r="A47" s="2">
        <v>9228</v>
      </c>
      <c r="B47" s="2" t="s">
        <v>179</v>
      </c>
      <c r="C47" s="2" t="s">
        <v>17</v>
      </c>
      <c r="D47" s="2">
        <v>41</v>
      </c>
      <c r="E47" s="2" t="s">
        <v>39</v>
      </c>
      <c r="F47" s="2" t="s">
        <v>82</v>
      </c>
      <c r="G47" s="2" t="s">
        <v>52</v>
      </c>
      <c r="H47" s="2" t="s">
        <v>21</v>
      </c>
      <c r="I47" s="2" t="s">
        <v>180</v>
      </c>
      <c r="J47" s="2" t="s">
        <v>181</v>
      </c>
      <c r="K47" s="2" t="s">
        <v>91</v>
      </c>
      <c r="L47" s="2" t="s">
        <v>24</v>
      </c>
      <c r="M47" s="2">
        <v>38201</v>
      </c>
      <c r="N47" s="2" t="s">
        <v>44</v>
      </c>
      <c r="O47" s="2">
        <v>7111</v>
      </c>
      <c r="P47" s="2" t="s">
        <v>12</v>
      </c>
      <c r="Q47" s="2">
        <v>8</v>
      </c>
      <c r="R47" s="2">
        <v>4</v>
      </c>
      <c r="S47" s="2" t="s">
        <v>13</v>
      </c>
      <c r="T47" s="2" t="s">
        <v>55</v>
      </c>
      <c r="U47" s="2" t="s">
        <v>26</v>
      </c>
    </row>
    <row r="48" spans="1:21">
      <c r="A48" s="2">
        <v>8988</v>
      </c>
      <c r="B48" s="2" t="s">
        <v>182</v>
      </c>
      <c r="C48" s="2" t="s">
        <v>17</v>
      </c>
      <c r="D48" s="2">
        <v>25</v>
      </c>
      <c r="E48" s="2" t="s">
        <v>3</v>
      </c>
      <c r="F48" s="2" t="s">
        <v>4</v>
      </c>
      <c r="G48" s="2" t="s">
        <v>30</v>
      </c>
      <c r="H48" s="2" t="s">
        <v>31</v>
      </c>
      <c r="I48" s="2" t="s">
        <v>183</v>
      </c>
      <c r="J48" s="2" t="s">
        <v>184</v>
      </c>
      <c r="K48" s="2" t="s">
        <v>91</v>
      </c>
      <c r="L48" s="2" t="s">
        <v>24</v>
      </c>
      <c r="M48" s="2">
        <v>92919</v>
      </c>
      <c r="N48" s="2" t="s">
        <v>35</v>
      </c>
      <c r="O48" s="2">
        <v>9497</v>
      </c>
      <c r="P48" s="2" t="s">
        <v>12</v>
      </c>
      <c r="Q48" s="2">
        <v>7</v>
      </c>
      <c r="R48" s="2">
        <v>2</v>
      </c>
      <c r="S48" s="2" t="s">
        <v>26</v>
      </c>
      <c r="T48" s="2" t="s">
        <v>55</v>
      </c>
      <c r="U48" s="2" t="s">
        <v>37</v>
      </c>
    </row>
    <row r="49" spans="1:21">
      <c r="A49" s="2">
        <v>1952</v>
      </c>
      <c r="B49" s="2" t="s">
        <v>185</v>
      </c>
      <c r="C49" s="2" t="s">
        <v>2</v>
      </c>
      <c r="D49" s="2">
        <v>29</v>
      </c>
      <c r="E49" s="2" t="s">
        <v>18</v>
      </c>
      <c r="F49" s="2" t="s">
        <v>82</v>
      </c>
      <c r="G49" s="2" t="s">
        <v>5</v>
      </c>
      <c r="H49" s="2" t="s">
        <v>21</v>
      </c>
      <c r="I49" s="2" t="s">
        <v>186</v>
      </c>
      <c r="J49" s="2" t="s">
        <v>187</v>
      </c>
      <c r="K49" s="2" t="s">
        <v>9</v>
      </c>
      <c r="L49" s="2" t="s">
        <v>34</v>
      </c>
      <c r="M49" s="2">
        <v>45188</v>
      </c>
      <c r="N49" s="2" t="s">
        <v>44</v>
      </c>
      <c r="O49" s="2">
        <v>9591</v>
      </c>
      <c r="P49" s="2" t="s">
        <v>45</v>
      </c>
      <c r="Q49" s="2">
        <v>18</v>
      </c>
      <c r="R49" s="2">
        <v>3</v>
      </c>
      <c r="S49" s="2" t="s">
        <v>13</v>
      </c>
      <c r="T49" s="2" t="s">
        <v>55</v>
      </c>
      <c r="U49" s="2" t="s">
        <v>26</v>
      </c>
    </row>
    <row r="50" spans="1:21">
      <c r="A50" s="2">
        <v>5760</v>
      </c>
      <c r="B50" s="2" t="s">
        <v>188</v>
      </c>
      <c r="C50" s="2" t="s">
        <v>2</v>
      </c>
      <c r="D50" s="2">
        <v>59</v>
      </c>
      <c r="E50" s="2" t="s">
        <v>48</v>
      </c>
      <c r="F50" s="2" t="s">
        <v>29</v>
      </c>
      <c r="G50" s="2" t="s">
        <v>20</v>
      </c>
      <c r="H50" s="2" t="s">
        <v>6</v>
      </c>
      <c r="I50" s="2" t="s">
        <v>189</v>
      </c>
      <c r="J50" s="2" t="s">
        <v>190</v>
      </c>
      <c r="K50" s="2" t="s">
        <v>9</v>
      </c>
      <c r="L50" s="2" t="s">
        <v>24</v>
      </c>
      <c r="M50" s="2">
        <v>34927</v>
      </c>
      <c r="N50" s="2" t="s">
        <v>35</v>
      </c>
      <c r="O50" s="2">
        <v>6996</v>
      </c>
      <c r="P50" s="2" t="s">
        <v>45</v>
      </c>
      <c r="Q50" s="2">
        <v>16</v>
      </c>
      <c r="R50" s="2">
        <v>1</v>
      </c>
      <c r="S50" s="2" t="s">
        <v>27</v>
      </c>
      <c r="T50" s="2" t="s">
        <v>14</v>
      </c>
      <c r="U50" s="2" t="s">
        <v>15</v>
      </c>
    </row>
    <row r="51" spans="1:21">
      <c r="A51" s="3">
        <v>5742</v>
      </c>
      <c r="B51" s="3" t="s">
        <v>191</v>
      </c>
      <c r="C51" s="3" t="s">
        <v>2</v>
      </c>
      <c r="D51" s="3">
        <v>27</v>
      </c>
      <c r="E51" s="3" t="s">
        <v>18</v>
      </c>
      <c r="F51" s="3" t="s">
        <v>4</v>
      </c>
      <c r="G51" s="3" t="s">
        <v>30</v>
      </c>
      <c r="H51" s="3" t="s">
        <v>40</v>
      </c>
      <c r="I51" s="3" t="s">
        <v>192</v>
      </c>
      <c r="J51" s="3" t="s">
        <v>193</v>
      </c>
      <c r="K51" s="3" t="s">
        <v>9</v>
      </c>
      <c r="L51" s="3" t="s">
        <v>24</v>
      </c>
      <c r="M51" s="3">
        <v>33183</v>
      </c>
      <c r="N51" s="3" t="s">
        <v>44</v>
      </c>
      <c r="O51" s="3">
        <v>1659</v>
      </c>
      <c r="P51" s="3" t="s">
        <v>26</v>
      </c>
      <c r="Q51" s="3">
        <v>11</v>
      </c>
      <c r="R51" s="3">
        <v>1</v>
      </c>
      <c r="S51" s="3" t="s">
        <v>13</v>
      </c>
      <c r="T51" s="3" t="s">
        <v>46</v>
      </c>
      <c r="U51" s="3" t="s">
        <v>26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5F4FA-64A6-44FD-AAB8-EE627C84D0B2}">
  <dimension ref="A1:V45"/>
  <sheetViews>
    <sheetView workbookViewId="0">
      <selection activeCell="S5" sqref="S5"/>
    </sheetView>
    <sheetView topLeftCell="K10" workbookViewId="1">
      <selection activeCell="Q18" sqref="Q18:R20"/>
    </sheetView>
  </sheetViews>
  <sheetFormatPr defaultRowHeight="15"/>
  <cols>
    <col min="1" max="1" width="13.42578125" bestFit="1" customWidth="1"/>
    <col min="2" max="3" width="18.5703125" bestFit="1" customWidth="1"/>
    <col min="6" max="6" width="13.42578125" bestFit="1" customWidth="1"/>
    <col min="7" max="7" width="13.28515625" bestFit="1" customWidth="1"/>
    <col min="8" max="8" width="19" bestFit="1" customWidth="1"/>
    <col min="11" max="11" width="13.42578125" bestFit="1" customWidth="1"/>
    <col min="12" max="12" width="19" bestFit="1" customWidth="1"/>
    <col min="13" max="13" width="5.28515625" bestFit="1" customWidth="1"/>
    <col min="14" max="14" width="11.28515625" bestFit="1" customWidth="1"/>
    <col min="17" max="18" width="13.42578125" bestFit="1" customWidth="1"/>
    <col min="19" max="19" width="18.5703125" bestFit="1" customWidth="1"/>
    <col min="21" max="21" width="15.28515625" bestFit="1" customWidth="1"/>
    <col min="22" max="22" width="18.5703125" bestFit="1" customWidth="1"/>
  </cols>
  <sheetData>
    <row r="1" spans="2:22">
      <c r="B1" s="7" t="s">
        <v>218</v>
      </c>
      <c r="C1" s="8"/>
    </row>
    <row r="3" spans="2:22">
      <c r="B3" s="4" t="s">
        <v>215</v>
      </c>
      <c r="C3" t="s">
        <v>217</v>
      </c>
      <c r="F3" s="7" t="s">
        <v>221</v>
      </c>
      <c r="G3" s="8"/>
    </row>
    <row r="4" spans="2:22">
      <c r="B4" s="5" t="s">
        <v>43</v>
      </c>
      <c r="C4" s="6">
        <v>17</v>
      </c>
    </row>
    <row r="5" spans="2:22">
      <c r="B5" s="5" t="s">
        <v>9</v>
      </c>
      <c r="C5" s="6">
        <v>20</v>
      </c>
      <c r="F5" s="4" t="s">
        <v>215</v>
      </c>
      <c r="G5" t="s">
        <v>220</v>
      </c>
      <c r="H5" t="s">
        <v>224</v>
      </c>
    </row>
    <row r="6" spans="2:22">
      <c r="B6" s="5" t="s">
        <v>91</v>
      </c>
      <c r="C6" s="6">
        <v>13</v>
      </c>
      <c r="F6" s="5" t="s">
        <v>101</v>
      </c>
      <c r="G6" s="6">
        <v>167041</v>
      </c>
      <c r="H6" s="6">
        <v>28</v>
      </c>
      <c r="U6" t="s">
        <v>213</v>
      </c>
    </row>
    <row r="7" spans="2:22">
      <c r="B7" s="5" t="s">
        <v>216</v>
      </c>
      <c r="C7" s="6">
        <v>50</v>
      </c>
      <c r="F7" s="5" t="s">
        <v>20</v>
      </c>
      <c r="G7" s="6">
        <v>613842</v>
      </c>
      <c r="H7" s="6">
        <v>110</v>
      </c>
      <c r="U7" s="4" t="s">
        <v>215</v>
      </c>
      <c r="V7" t="s">
        <v>217</v>
      </c>
    </row>
    <row r="8" spans="2:22">
      <c r="F8" s="5" t="s">
        <v>52</v>
      </c>
      <c r="G8" s="6">
        <v>633594</v>
      </c>
      <c r="H8" s="6">
        <v>104</v>
      </c>
      <c r="U8" s="5" t="s">
        <v>55</v>
      </c>
      <c r="V8" s="6">
        <v>12</v>
      </c>
    </row>
    <row r="9" spans="2:22">
      <c r="F9" s="5" t="s">
        <v>30</v>
      </c>
      <c r="G9" s="6">
        <v>959266</v>
      </c>
      <c r="H9" s="6">
        <v>123</v>
      </c>
      <c r="U9" s="5" t="s">
        <v>14</v>
      </c>
      <c r="V9" s="6">
        <v>11</v>
      </c>
    </row>
    <row r="10" spans="2:22">
      <c r="F10" s="5" t="s">
        <v>5</v>
      </c>
      <c r="G10" s="6">
        <v>731170</v>
      </c>
      <c r="H10" s="6">
        <v>122</v>
      </c>
      <c r="U10" s="5" t="s">
        <v>76</v>
      </c>
      <c r="V10" s="6">
        <v>7</v>
      </c>
    </row>
    <row r="11" spans="2:22">
      <c r="B11" t="s">
        <v>43</v>
      </c>
      <c r="C11">
        <f>IFERROR(GETPIVOTDATA("Full Name",$B$4,"Employment Status","Contract"),"O")</f>
        <v>17</v>
      </c>
      <c r="F11" s="5" t="s">
        <v>216</v>
      </c>
      <c r="G11" s="6">
        <v>3104913</v>
      </c>
      <c r="H11" s="6">
        <v>487</v>
      </c>
      <c r="Q11" s="5" t="s">
        <v>24</v>
      </c>
      <c r="R11">
        <v>23</v>
      </c>
      <c r="U11" s="5" t="s">
        <v>36</v>
      </c>
      <c r="V11" s="6">
        <v>11</v>
      </c>
    </row>
    <row r="12" spans="2:22">
      <c r="B12" t="s">
        <v>9</v>
      </c>
      <c r="C12">
        <f>IFERROR(GETPIVOTDATA("Full Name",$B$4,"Employment Status","Full-Time"),"O")</f>
        <v>20</v>
      </c>
      <c r="Q12" s="5" t="s">
        <v>10</v>
      </c>
      <c r="R12">
        <v>8</v>
      </c>
      <c r="U12" s="5" t="s">
        <v>46</v>
      </c>
      <c r="V12" s="6">
        <v>9</v>
      </c>
    </row>
    <row r="13" spans="2:22">
      <c r="B13" t="s">
        <v>91</v>
      </c>
      <c r="C13">
        <f>IFERROR(GETPIVOTDATA("Full Name",$B$4,"Employment Status","Part-Time"),"O")</f>
        <v>13</v>
      </c>
      <c r="F13" t="s">
        <v>101</v>
      </c>
      <c r="G13" s="10">
        <f>IFERROR(GETPIVOTDATA("Salary",$F$5,"Job Title","Analyst"),"o")</f>
        <v>167041</v>
      </c>
      <c r="H13" s="6">
        <v>28</v>
      </c>
      <c r="Q13" s="5" t="s">
        <v>34</v>
      </c>
      <c r="R13">
        <v>19</v>
      </c>
      <c r="U13" s="5" t="s">
        <v>216</v>
      </c>
      <c r="V13" s="6">
        <v>50</v>
      </c>
    </row>
    <row r="14" spans="2:22">
      <c r="B14" t="s">
        <v>219</v>
      </c>
      <c r="C14">
        <f>SUM(C12,C11,C13)</f>
        <v>50</v>
      </c>
      <c r="F14" t="s">
        <v>20</v>
      </c>
      <c r="G14" s="10">
        <f>IFERROR(GETPIVOTDATA("Salary",$F$5,"Job Title","Designer"),"o")</f>
        <v>613842</v>
      </c>
      <c r="H14" s="6">
        <v>110</v>
      </c>
      <c r="K14" s="11"/>
      <c r="Q14" s="5" t="s">
        <v>219</v>
      </c>
      <c r="R14">
        <v>50</v>
      </c>
    </row>
    <row r="15" spans="2:22">
      <c r="F15" t="s">
        <v>52</v>
      </c>
      <c r="G15" s="10">
        <f>IFERROR(GETPIVOTDATA("Salary",$F$5,"Job Title","Developer"),"o")</f>
        <v>633594</v>
      </c>
      <c r="H15" s="6">
        <v>104</v>
      </c>
      <c r="K15" s="11" t="s">
        <v>223</v>
      </c>
    </row>
    <row r="16" spans="2:22">
      <c r="F16" t="s">
        <v>30</v>
      </c>
      <c r="G16" s="10">
        <f>IFERROR(GETPIVOTDATA("Salary",$F$5,"Job Title","HR Specialist"),"o")</f>
        <v>959266</v>
      </c>
      <c r="H16" s="6">
        <v>123</v>
      </c>
      <c r="K16" s="4" t="s">
        <v>217</v>
      </c>
      <c r="L16" s="4" t="s">
        <v>222</v>
      </c>
      <c r="U16" s="5" t="s">
        <v>55</v>
      </c>
      <c r="V16" s="6">
        <v>12</v>
      </c>
    </row>
    <row r="17" spans="1:22">
      <c r="F17" t="s">
        <v>5</v>
      </c>
      <c r="G17" s="10">
        <f>IFERROR(GETPIVOTDATA("Salary",$F$5,"Job Title","Manager"),"o")</f>
        <v>731170</v>
      </c>
      <c r="H17" s="6">
        <v>122</v>
      </c>
      <c r="K17" s="4" t="s">
        <v>215</v>
      </c>
      <c r="L17" t="s">
        <v>2</v>
      </c>
      <c r="M17" t="s">
        <v>17</v>
      </c>
      <c r="N17" t="s">
        <v>216</v>
      </c>
      <c r="Q17" s="4" t="s">
        <v>215</v>
      </c>
      <c r="R17" t="s">
        <v>217</v>
      </c>
      <c r="U17" s="5" t="s">
        <v>14</v>
      </c>
      <c r="V17" s="6">
        <v>11</v>
      </c>
    </row>
    <row r="18" spans="1:22">
      <c r="A18" s="4" t="s">
        <v>215</v>
      </c>
      <c r="B18" t="s">
        <v>217</v>
      </c>
      <c r="F18" t="s">
        <v>219</v>
      </c>
      <c r="G18" s="10">
        <f>SUM(G13,G14,G15,G16,G17)</f>
        <v>3104913</v>
      </c>
      <c r="K18" s="5" t="s">
        <v>3</v>
      </c>
      <c r="L18" s="6">
        <v>6</v>
      </c>
      <c r="M18" s="6">
        <v>3</v>
      </c>
      <c r="N18" s="6">
        <v>9</v>
      </c>
      <c r="Q18" s="5" t="s">
        <v>24</v>
      </c>
      <c r="R18" s="6">
        <v>23</v>
      </c>
      <c r="U18" s="5" t="s">
        <v>76</v>
      </c>
      <c r="V18" s="6">
        <v>7</v>
      </c>
    </row>
    <row r="19" spans="1:22">
      <c r="A19" s="5" t="s">
        <v>19</v>
      </c>
      <c r="B19" s="6">
        <v>14</v>
      </c>
      <c r="C19" s="5" t="s">
        <v>19</v>
      </c>
      <c r="D19" s="6">
        <v>14</v>
      </c>
      <c r="K19" s="5" t="s">
        <v>18</v>
      </c>
      <c r="L19" s="6">
        <v>7</v>
      </c>
      <c r="M19" s="6">
        <v>6</v>
      </c>
      <c r="N19" s="6">
        <v>13</v>
      </c>
      <c r="Q19" s="5" t="s">
        <v>10</v>
      </c>
      <c r="R19" s="6">
        <v>8</v>
      </c>
      <c r="U19" s="5" t="s">
        <v>36</v>
      </c>
      <c r="V19" s="6">
        <v>11</v>
      </c>
    </row>
    <row r="20" spans="1:22">
      <c r="A20" s="5" t="s">
        <v>4</v>
      </c>
      <c r="B20" s="6">
        <v>10</v>
      </c>
      <c r="C20" s="5" t="s">
        <v>4</v>
      </c>
      <c r="D20" s="6">
        <v>10</v>
      </c>
      <c r="K20" s="5" t="s">
        <v>39</v>
      </c>
      <c r="L20" s="6">
        <v>5</v>
      </c>
      <c r="M20" s="6">
        <v>7</v>
      </c>
      <c r="N20" s="6">
        <v>12</v>
      </c>
      <c r="Q20" s="5" t="s">
        <v>34</v>
      </c>
      <c r="R20" s="6">
        <v>19</v>
      </c>
      <c r="U20" s="5" t="s">
        <v>46</v>
      </c>
      <c r="V20" s="6">
        <v>9</v>
      </c>
    </row>
    <row r="21" spans="1:22">
      <c r="A21" s="5" t="s">
        <v>82</v>
      </c>
      <c r="B21" s="6">
        <v>7</v>
      </c>
      <c r="C21" s="5" t="s">
        <v>82</v>
      </c>
      <c r="D21" s="6">
        <v>7</v>
      </c>
      <c r="K21" s="5" t="s">
        <v>78</v>
      </c>
      <c r="L21" s="6">
        <v>4</v>
      </c>
      <c r="M21" s="6">
        <v>3</v>
      </c>
      <c r="N21" s="6">
        <v>7</v>
      </c>
      <c r="Q21" s="5" t="s">
        <v>216</v>
      </c>
      <c r="R21" s="6">
        <v>50</v>
      </c>
    </row>
    <row r="22" spans="1:22">
      <c r="A22" s="5" t="s">
        <v>60</v>
      </c>
      <c r="B22" s="6">
        <v>10</v>
      </c>
      <c r="C22" s="5" t="s">
        <v>60</v>
      </c>
      <c r="D22" s="6">
        <v>10</v>
      </c>
      <c r="K22" s="5" t="s">
        <v>48</v>
      </c>
      <c r="L22" s="6">
        <v>4</v>
      </c>
      <c r="M22" s="6">
        <v>5</v>
      </c>
      <c r="N22" s="6">
        <v>9</v>
      </c>
    </row>
    <row r="23" spans="1:22">
      <c r="A23" s="5" t="s">
        <v>29</v>
      </c>
      <c r="B23" s="6">
        <v>9</v>
      </c>
      <c r="C23" s="5" t="s">
        <v>29</v>
      </c>
      <c r="D23" s="6">
        <v>9</v>
      </c>
      <c r="K23" s="5" t="s">
        <v>216</v>
      </c>
      <c r="L23" s="6">
        <v>26</v>
      </c>
      <c r="M23" s="6">
        <v>24</v>
      </c>
      <c r="N23" s="6">
        <v>50</v>
      </c>
    </row>
    <row r="24" spans="1:22">
      <c r="A24" s="5" t="s">
        <v>216</v>
      </c>
      <c r="B24" s="6">
        <v>50</v>
      </c>
    </row>
    <row r="26" spans="1:22">
      <c r="K26" s="5"/>
    </row>
    <row r="27" spans="1:22">
      <c r="K27" s="5"/>
    </row>
    <row r="28" spans="1:22">
      <c r="K28" s="5"/>
    </row>
    <row r="29" spans="1:22">
      <c r="K29" s="5"/>
    </row>
    <row r="30" spans="1:22">
      <c r="A30" t="s">
        <v>225</v>
      </c>
      <c r="K30" s="5"/>
    </row>
    <row r="31" spans="1:22">
      <c r="A31" s="6">
        <v>131</v>
      </c>
    </row>
    <row r="37" spans="11:19">
      <c r="R37" s="4" t="s">
        <v>215</v>
      </c>
      <c r="S37" t="s">
        <v>217</v>
      </c>
    </row>
    <row r="38" spans="11:19">
      <c r="R38" s="5" t="s">
        <v>2</v>
      </c>
      <c r="S38" s="6">
        <v>26</v>
      </c>
    </row>
    <row r="39" spans="11:19">
      <c r="K39" s="4" t="s">
        <v>215</v>
      </c>
      <c r="L39" t="s">
        <v>224</v>
      </c>
      <c r="N39" s="5"/>
      <c r="O39" s="14"/>
      <c r="P39" s="12"/>
      <c r="R39" s="5" t="s">
        <v>17</v>
      </c>
      <c r="S39" s="6">
        <v>24</v>
      </c>
    </row>
    <row r="40" spans="11:19">
      <c r="K40" s="5" t="s">
        <v>101</v>
      </c>
      <c r="L40" s="6">
        <v>28</v>
      </c>
      <c r="R40" s="5" t="s">
        <v>216</v>
      </c>
      <c r="S40" s="6">
        <v>50</v>
      </c>
    </row>
    <row r="41" spans="11:19">
      <c r="K41" s="5" t="s">
        <v>20</v>
      </c>
      <c r="L41" s="6">
        <v>110</v>
      </c>
      <c r="N41" s="5"/>
      <c r="O41" s="14"/>
      <c r="P41" s="13"/>
    </row>
    <row r="42" spans="11:19">
      <c r="K42" s="5" t="s">
        <v>52</v>
      </c>
      <c r="L42" s="6">
        <v>104</v>
      </c>
      <c r="O42" s="6"/>
    </row>
    <row r="43" spans="11:19">
      <c r="K43" s="5" t="s">
        <v>30</v>
      </c>
      <c r="L43" s="6">
        <v>123</v>
      </c>
    </row>
    <row r="44" spans="11:19">
      <c r="K44" s="5" t="s">
        <v>5</v>
      </c>
      <c r="L44" s="6">
        <v>122</v>
      </c>
    </row>
    <row r="45" spans="11:19">
      <c r="K45" s="5" t="s">
        <v>216</v>
      </c>
      <c r="L45" s="6">
        <v>487</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9FB224-1CA6-4270-9631-24A54A2C3C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jadhavshweta477@gmail.com</dc:creator>
  <cp:lastModifiedBy>jadhavshweta477@gmail.com</cp:lastModifiedBy>
  <cp:lastPrinted>2025-11-06T02:29:48Z</cp:lastPrinted>
  <dcterms:created xsi:type="dcterms:W3CDTF">2025-11-04T12:40:55Z</dcterms:created>
  <dcterms:modified xsi:type="dcterms:W3CDTF">2025-11-07T05:33:28Z</dcterms:modified>
</cp:coreProperties>
</file>